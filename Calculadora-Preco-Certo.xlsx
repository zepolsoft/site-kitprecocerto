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Meu custo por hora" sheetId="2" state="visible" r:id="rId4"/>
    <sheet name="Meus serviços" sheetId="3" state="visible" r:id="rId5"/>
    <sheet name="Tabela para divulgar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<sst xmlns="http://schemas.openxmlformats.org/spreadsheetml/2006/main" count="72" uniqueCount="71">
  <si>
    <t xml:space="preserve">Kit Preço Certo — Calculadora de Preço para Manicure</t>
  </si>
  <si>
    <t xml:space="preserve">Como usar (3 passos, 10 minutos):</t>
  </si>
  <si>
    <t xml:space="preserve">1) Aba 'Meu custo por hora': preencha só as células AMARELAS com os seus gastos do mês e suas horas de trabalho.</t>
  </si>
  <si>
    <t xml:space="preserve">2) Aba 'Meus serviços': escreva seus serviços, o tempo de cada um, o gasto com material e o preço que você cobra hoje.</t>
  </si>
  <si>
    <t xml:space="preserve">3) Veja o PREÇO SUGERIDO e quanto sobra de lucro em cada serviço. O status mostra se o preço atual está baixo.</t>
  </si>
  <si>
    <t xml:space="preserve">Importante:</t>
  </si>
  <si>
    <t xml:space="preserve">• Os números que já estão preenchidos são EXEMPLOS para você ver a conta funcionando. Troque pelos seus.</t>
  </si>
  <si>
    <t xml:space="preserve">• Só as células amarelas devem ser editadas. As demais têm fórmulas.</t>
  </si>
  <si>
    <t xml:space="preserve">• A calculadora mostra a conta do preço; não promete ganho nem resultado. O resultado depende dos seus custos e da sua demanda.</t>
  </si>
  <si>
    <t xml:space="preserve">• Impostos: se você é MEI, o valor do DAS mensal entra nos custos fixos. Confirme valores atuais no portal oficial do MEI.</t>
  </si>
  <si>
    <t xml:space="preserve">Passo 1 — Quanto custa a sua hora de trabalho</t>
  </si>
  <si>
    <t xml:space="preserve">Preencha as células amarelas (exemplos já preenchidos — troque pelos seus valores).</t>
  </si>
  <si>
    <t xml:space="preserve">Gastos fixos do mês (R$)</t>
  </si>
  <si>
    <t xml:space="preserve">Aluguel / cadeira / espaço</t>
  </si>
  <si>
    <t xml:space="preserve">Se atende em casa, ponha 0 ou uma parte do aluguel</t>
  </si>
  <si>
    <t xml:space="preserve">Luz, água, internet</t>
  </si>
  <si>
    <t xml:space="preserve">Imposto (ex.: DAS do MEI)</t>
  </si>
  <si>
    <t xml:space="preserve">Exemplo. Confira o valor atual no portal do MEI</t>
  </si>
  <si>
    <t xml:space="preserve">Telefone / aplicativos / agenda</t>
  </si>
  <si>
    <t xml:space="preserve">Divulgação (anúncios, cartões, etc.)</t>
  </si>
  <si>
    <t xml:space="preserve">Reposição de equipamentos (lixa, alicate, lâmpada...)</t>
  </si>
  <si>
    <t xml:space="preserve">Média mensal</t>
  </si>
  <si>
    <t xml:space="preserve">Outros gastos fixos</t>
  </si>
  <si>
    <t xml:space="preserve">Total de gastos fixos</t>
  </si>
  <si>
    <t xml:space="preserve">O quanto você quer tirar para você</t>
  </si>
  <si>
    <t xml:space="preserve">Retirada mensal desejada (seu salário)</t>
  </si>
  <si>
    <t xml:space="preserve">É o que você quer ganhar por mês, além dos gastos</t>
  </si>
  <si>
    <t xml:space="preserve">Seu tempo de trabalho</t>
  </si>
  <si>
    <t xml:space="preserve">Horas de atendimento por dia</t>
  </si>
  <si>
    <t xml:space="preserve">Horas em que está no local, disponível</t>
  </si>
  <si>
    <t xml:space="preserve">Dias trabalhados por semana</t>
  </si>
  <si>
    <t xml:space="preserve">Taxa de ocupação da agenda (%)</t>
  </si>
  <si>
    <t xml:space="preserve">Parte das horas em que há cliente. Seja realista (50–80%)</t>
  </si>
  <si>
    <t xml:space="preserve">Resultado</t>
  </si>
  <si>
    <t xml:space="preserve">Semanas por mês (média)</t>
  </si>
  <si>
    <t xml:space="preserve">Valor fixo: 52 semanas ÷ 12 meses</t>
  </si>
  <si>
    <t xml:space="preserve">Horas vendáveis por mês</t>
  </si>
  <si>
    <t xml:space="preserve">CUSTO DA SUA HORA (gastos + retirada)</t>
  </si>
  <si>
    <t xml:space="preserve">Esse valor entra automaticamente na aba 'Meus serviços'</t>
  </si>
  <si>
    <t xml:space="preserve">Taxas e margem (valem para todos os serviços)</t>
  </si>
  <si>
    <t xml:space="preserve">Taxa da maquininha/cartão (%)</t>
  </si>
  <si>
    <t xml:space="preserve">Veja a taxa da sua maquininha</t>
  </si>
  <si>
    <t xml:space="preserve">Margem de segurança / reserva (%)</t>
  </si>
  <si>
    <t xml:space="preserve">Para imprevistos e crescer. 0% se não quiser</t>
  </si>
  <si>
    <t xml:space="preserve">Passo 2 — Preço sugerido por serviço</t>
  </si>
  <si>
    <t xml:space="preserve">Células amarelas = você preenche. Os serviços abaixo são EXEMPLOS (valores ilustrativos, troque pelos seus).</t>
  </si>
  <si>
    <t xml:space="preserve">Serviço</t>
  </si>
  <si>
    <t xml:space="preserve">Tempo (min)</t>
  </si>
  <si>
    <t xml:space="preserve">Material gasto (R$)</t>
  </si>
  <si>
    <t xml:space="preserve">Preço que cobro hoje (R$)</t>
  </si>
  <si>
    <t xml:space="preserve">Custo do tempo (R$)</t>
  </si>
  <si>
    <t xml:space="preserve">Custo total (R$)</t>
  </si>
  <si>
    <t xml:space="preserve">PREÇO SUGERIDO (R$)</t>
  </si>
  <si>
    <t xml:space="preserve">Lucro hoje (R$)</t>
  </si>
  <si>
    <t xml:space="preserve">Situação</t>
  </si>
  <si>
    <t xml:space="preserve">Esmaltação simples (mão)</t>
  </si>
  <si>
    <t xml:space="preserve">Esmaltação simples (pé)</t>
  </si>
  <si>
    <t xml:space="preserve">Mão + pé</t>
  </si>
  <si>
    <t xml:space="preserve">Esmaltação em gel (mão)</t>
  </si>
  <si>
    <t xml:space="preserve">Blindagem</t>
  </si>
  <si>
    <t xml:space="preserve">Alongamento em gel</t>
  </si>
  <si>
    <t xml:space="preserve">Manutenção de alongamento</t>
  </si>
  <si>
    <t xml:space="preserve">Remoção</t>
  </si>
  <si>
    <t xml:space="preserve">Como o preço é calculado: (custo do tempo + material) ÷ (1 − taxa do cartão − margem), arredondado para cima ao real.</t>
  </si>
  <si>
    <t xml:space="preserve">Custo do tempo = minutos ÷ 60 × custo da sua hora (aba 'Meu custo por hora').</t>
  </si>
  <si>
    <t xml:space="preserve">Lucro hoje = o que você cobra, menos taxa do cartão, menos custo total. Negativo = você paga para trabalhar nesse serviço.</t>
  </si>
  <si>
    <t xml:space="preserve">Os tempos e materiais dos exemplos são ilustrativos. Meça os seus: cronometre 3 atendimentos e anote o que gastou.</t>
  </si>
  <si>
    <t xml:space="preserve">Tabela de preços (copie para o seu Instagram/WhatsApp)</t>
  </si>
  <si>
    <t xml:space="preserve">Preço</t>
  </si>
  <si>
    <t xml:space="preserve">A tabela usa o maior valor entre o que você cobra hoje e o preço sugerido.</t>
  </si>
  <si>
    <t xml:space="preserve">Kit Preço Certo — ferramenta de apoio; não substitui orientação contábil.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</si>
</sst>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R$ &quot;#,##0.00"/>
    <numFmt numFmtId="166" formatCode="0.0"/>
    <numFmt numFmtId="167" formatCode="0"/>
    <numFmt numFmtId="168" formatCode="0.0%"/>
    <numFmt numFmtId="169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C2185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4"/>
      <color rgb="FFC2185B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777777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2185B"/>
        <bgColor rgb="FF993366"/>
      </patternFill>
    </fill>
    <fill>
      <patternFill patternType="solid">
        <fgColor rgb="FFFFF9C4"/>
        <bgColor rgb="FFFFFF99"/>
      </patternFill>
    </fill>
    <fill>
      <patternFill patternType="solid">
        <fgColor rgb="FFFCE4EC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C2185B"/>
      <rgbColor rgb="FFFFF9C4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5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26.85" hidden="false" customHeight="false" outlineLevel="0" collapsed="false">
      <c r="B4" s="2" t="s">
        <v>2</v>
      </c>
    </row>
    <row r="5" customFormat="false" ht="26.85" hidden="false" customHeight="false" outlineLevel="0" collapsed="false">
      <c r="B5" s="2" t="s">
        <v>3</v>
      </c>
    </row>
    <row r="6" customFormat="false" ht="26.8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3" t="s">
        <v>5</v>
      </c>
    </row>
    <row r="9" customFormat="false" ht="26.8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 t="s">
        <v>7</v>
      </c>
    </row>
    <row r="11" customFormat="false" ht="26.85" hidden="false" customHeight="false" outlineLevel="0" collapsed="false">
      <c r="B11" s="2" t="s">
        <v>8</v>
      </c>
    </row>
    <row r="12" customFormat="false" ht="26.85" hidden="false" customHeight="false" outlineLevel="0" collapsed="false">
      <c r="B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4" t="s">
        <v>10</v>
      </c>
    </row>
    <row r="2" customFormat="false" ht="15" hidden="false" customHeight="false" outlineLevel="0" collapsed="false">
      <c r="A2" s="5" t="s">
        <v>11</v>
      </c>
    </row>
    <row r="4" customFormat="false" ht="15" hidden="false" customHeight="false" outlineLevel="0" collapsed="false">
      <c r="A4" s="6" t="s">
        <v>12</v>
      </c>
      <c r="B4" s="7"/>
      <c r="C4" s="7"/>
    </row>
    <row r="5" customFormat="false" ht="15" hidden="false" customHeight="false" outlineLevel="0" collapsed="false">
      <c r="A5" s="8" t="s">
        <v>13</v>
      </c>
      <c r="B5" s="9" t="n">
        <v>600</v>
      </c>
      <c r="C5" s="10" t="s">
        <v>14</v>
      </c>
    </row>
    <row r="6" customFormat="false" ht="15" hidden="false" customHeight="false" outlineLevel="0" collapsed="false">
      <c r="A6" s="8" t="s">
        <v>15</v>
      </c>
      <c r="B6" s="9" t="n">
        <v>150</v>
      </c>
      <c r="C6" s="10"/>
    </row>
    <row r="7" customFormat="false" ht="15" hidden="false" customHeight="false" outlineLevel="0" collapsed="false">
      <c r="A7" s="8" t="s">
        <v>16</v>
      </c>
      <c r="B7" s="9" t="n">
        <v>80</v>
      </c>
      <c r="C7" s="10" t="s">
        <v>17</v>
      </c>
    </row>
    <row r="8" customFormat="false" ht="15" hidden="false" customHeight="false" outlineLevel="0" collapsed="false">
      <c r="A8" s="8" t="s">
        <v>18</v>
      </c>
      <c r="B8" s="9" t="n">
        <v>60</v>
      </c>
      <c r="C8" s="10"/>
    </row>
    <row r="9" customFormat="false" ht="15" hidden="false" customHeight="false" outlineLevel="0" collapsed="false">
      <c r="A9" s="8" t="s">
        <v>19</v>
      </c>
      <c r="B9" s="9" t="n">
        <v>50</v>
      </c>
      <c r="C9" s="10"/>
    </row>
    <row r="10" customFormat="false" ht="15" hidden="false" customHeight="false" outlineLevel="0" collapsed="false">
      <c r="A10" s="8" t="s">
        <v>20</v>
      </c>
      <c r="B10" s="9" t="n">
        <v>70</v>
      </c>
      <c r="C10" s="10" t="s">
        <v>21</v>
      </c>
    </row>
    <row r="11" customFormat="false" ht="15" hidden="false" customHeight="false" outlineLevel="0" collapsed="false">
      <c r="A11" s="8" t="s">
        <v>22</v>
      </c>
      <c r="B11" s="9" t="n">
        <v>0</v>
      </c>
      <c r="C11" s="10"/>
    </row>
    <row r="12" customFormat="false" ht="15" hidden="false" customHeight="false" outlineLevel="0" collapsed="false">
      <c r="A12" s="11" t="s">
        <v>23</v>
      </c>
      <c r="B12" s="12" t="n">
        <f aca="false">SUM(B5:B11)</f>
        <v>1010</v>
      </c>
    </row>
    <row r="14" customFormat="false" ht="15" hidden="false" customHeight="false" outlineLevel="0" collapsed="false">
      <c r="A14" s="6" t="s">
        <v>24</v>
      </c>
      <c r="B14" s="7"/>
      <c r="C14" s="7"/>
    </row>
    <row r="15" customFormat="false" ht="15" hidden="false" customHeight="false" outlineLevel="0" collapsed="false">
      <c r="A15" s="8" t="s">
        <v>25</v>
      </c>
      <c r="B15" s="9" t="n">
        <v>3000</v>
      </c>
      <c r="C15" s="10" t="s">
        <v>26</v>
      </c>
    </row>
    <row r="17" customFormat="false" ht="15" hidden="false" customHeight="false" outlineLevel="0" collapsed="false">
      <c r="A17" s="6" t="s">
        <v>27</v>
      </c>
      <c r="B17" s="7"/>
      <c r="C17" s="7"/>
    </row>
    <row r="18" customFormat="false" ht="15" hidden="false" customHeight="false" outlineLevel="0" collapsed="false">
      <c r="A18" s="8" t="s">
        <v>28</v>
      </c>
      <c r="B18" s="13" t="n">
        <v>8</v>
      </c>
      <c r="C18" s="10" t="s">
        <v>29</v>
      </c>
    </row>
    <row r="19" customFormat="false" ht="15" hidden="false" customHeight="false" outlineLevel="0" collapsed="false">
      <c r="A19" s="8" t="s">
        <v>30</v>
      </c>
      <c r="B19" s="14" t="n">
        <v>5</v>
      </c>
      <c r="C19" s="10"/>
    </row>
    <row r="20" customFormat="false" ht="15" hidden="false" customHeight="false" outlineLevel="0" collapsed="false">
      <c r="A20" s="8" t="s">
        <v>31</v>
      </c>
      <c r="B20" s="15" t="n">
        <v>0.65</v>
      </c>
      <c r="C20" s="10" t="s">
        <v>32</v>
      </c>
    </row>
    <row r="22" customFormat="false" ht="15" hidden="false" customHeight="false" outlineLevel="0" collapsed="false">
      <c r="A22" s="6" t="s">
        <v>33</v>
      </c>
      <c r="B22" s="7"/>
      <c r="C22" s="7"/>
    </row>
    <row r="23" customFormat="false" ht="15" hidden="false" customHeight="false" outlineLevel="0" collapsed="false">
      <c r="A23" s="8" t="s">
        <v>34</v>
      </c>
      <c r="B23" s="16" t="n">
        <v>4.33</v>
      </c>
      <c r="C23" s="10" t="s">
        <v>35</v>
      </c>
    </row>
    <row r="24" customFormat="false" ht="15" hidden="false" customHeight="false" outlineLevel="0" collapsed="false">
      <c r="A24" s="8" t="s">
        <v>36</v>
      </c>
      <c r="B24" s="17" t="n">
        <f aca="false">B18*B19*B23*B20</f>
        <v>112.58</v>
      </c>
    </row>
    <row r="25" customFormat="false" ht="15" hidden="false" customHeight="false" outlineLevel="0" collapsed="false">
      <c r="A25" s="18" t="s">
        <v>37</v>
      </c>
      <c r="B25" s="19" t="n">
        <f aca="false">IFERROR((B12+B15)/B24,0)</f>
        <v>35.6191152957897</v>
      </c>
      <c r="C25" s="10" t="s">
        <v>38</v>
      </c>
    </row>
    <row r="27" customFormat="false" ht="15" hidden="false" customHeight="false" outlineLevel="0" collapsed="false">
      <c r="A27" s="6" t="s">
        <v>39</v>
      </c>
      <c r="B27" s="7"/>
      <c r="C27" s="7"/>
    </row>
    <row r="28" customFormat="false" ht="15" hidden="false" customHeight="false" outlineLevel="0" collapsed="false">
      <c r="A28" s="8" t="s">
        <v>40</v>
      </c>
      <c r="B28" s="15" t="n">
        <v>0.04</v>
      </c>
      <c r="C28" s="10" t="s">
        <v>41</v>
      </c>
    </row>
    <row r="29" customFormat="false" ht="15" hidden="false" customHeight="false" outlineLevel="0" collapsed="false">
      <c r="A29" s="8" t="s">
        <v>42</v>
      </c>
      <c r="B29" s="15" t="n">
        <v>0.1</v>
      </c>
      <c r="C29" s="10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5"/>
    <col collapsed="false" customWidth="true" hidden="false" outlineLevel="0" max="7" min="7" style="0" width="20"/>
    <col collapsed="false" customWidth="true" hidden="false" outlineLevel="0" max="8" min="8" style="0" width="15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4" t="s">
        <v>44</v>
      </c>
    </row>
    <row r="2" customFormat="false" ht="15" hidden="false" customHeight="false" outlineLevel="0" collapsed="false">
      <c r="A2" s="5" t="s">
        <v>45</v>
      </c>
    </row>
    <row r="4" customFormat="false" ht="33.75" hidden="false" customHeight="true" outlineLevel="0" collapsed="false">
      <c r="A4" s="20" t="s">
        <v>46</v>
      </c>
      <c r="B4" s="20" t="s">
        <v>47</v>
      </c>
      <c r="C4" s="20" t="s">
        <v>48</v>
      </c>
      <c r="D4" s="20" t="s">
        <v>49</v>
      </c>
      <c r="E4" s="20" t="s">
        <v>50</v>
      </c>
      <c r="F4" s="20" t="s">
        <v>51</v>
      </c>
      <c r="G4" s="20" t="s">
        <v>52</v>
      </c>
      <c r="H4" s="20" t="s">
        <v>53</v>
      </c>
      <c r="I4" s="20" t="s">
        <v>54</v>
      </c>
    </row>
    <row r="5" customFormat="false" ht="15" hidden="false" customHeight="false" outlineLevel="0" collapsed="false">
      <c r="A5" s="21" t="s">
        <v>55</v>
      </c>
      <c r="B5" s="21" t="n">
        <v>45</v>
      </c>
      <c r="C5" s="9" t="n">
        <v>4</v>
      </c>
      <c r="D5" s="9" t="n">
        <v>35</v>
      </c>
      <c r="E5" s="22" t="n">
        <f aca="false">IF(B5="","",B5/60*'Meu custo por hora'!$B$25)</f>
        <v>26.7143364718422</v>
      </c>
      <c r="F5" s="22" t="n">
        <f aca="false">IF(B5="","",E5+C5)</f>
        <v>30.7143364718422</v>
      </c>
      <c r="G5" s="23" t="n">
        <f aca="false">IF(B5="","",ROUNDUP(F5/(1-'Meu custo por hora'!$B$28-'Meu custo por hora'!$B$29),0))</f>
        <v>36</v>
      </c>
      <c r="H5" s="22" t="n">
        <f aca="false">IF(OR(B5="",D5=""),"",D5*(1-'Meu custo por hora'!$B$28)-F5)</f>
        <v>2.88566352815776</v>
      </c>
      <c r="I5" s="24" t="str">
        <f aca="false">IF(OR(B5="",D5=""),"",IF(D5&gt;=G5,"OK: preço cobre custos e margem",IF(H5&gt;=0,"Atenção: pouca folga","PREJUÍZO: preço abaixo do custo")))</f>
        <v>Atenção: pouca folga</v>
      </c>
    </row>
    <row r="6" customFormat="false" ht="15" hidden="false" customHeight="false" outlineLevel="0" collapsed="false">
      <c r="A6" s="21" t="s">
        <v>56</v>
      </c>
      <c r="B6" s="21" t="n">
        <v>50</v>
      </c>
      <c r="C6" s="9" t="n">
        <v>4</v>
      </c>
      <c r="D6" s="9" t="n">
        <v>35</v>
      </c>
      <c r="E6" s="22" t="n">
        <f aca="false">IF(B6="","",B6/60*'Meu custo por hora'!$B$25)</f>
        <v>29.6825960798247</v>
      </c>
      <c r="F6" s="22" t="n">
        <f aca="false">IF(B6="","",E6+C6)</f>
        <v>33.6825960798247</v>
      </c>
      <c r="G6" s="23" t="n">
        <f aca="false">IF(B6="","",ROUNDUP(F6/(1-'Meu custo por hora'!$B$28-'Meu custo por hora'!$B$29),0))</f>
        <v>40</v>
      </c>
      <c r="H6" s="22" t="n">
        <f aca="false">IF(OR(B6="",D6=""),"",D6*(1-'Meu custo por hora'!$B$28)-F6)</f>
        <v>-0.0825960798247181</v>
      </c>
      <c r="I6" s="24" t="str">
        <f aca="false">IF(OR(B6="",D6=""),"",IF(D6&gt;=G6,"OK: preço cobre custos e margem",IF(H6&gt;=0,"Atenção: pouca folga","PREJUÍZO: preço abaixo do custo")))</f>
        <v>PREJUÍZO: preço abaixo do custo</v>
      </c>
    </row>
    <row r="7" customFormat="false" ht="15" hidden="false" customHeight="false" outlineLevel="0" collapsed="false">
      <c r="A7" s="21" t="s">
        <v>57</v>
      </c>
      <c r="B7" s="21" t="n">
        <v>90</v>
      </c>
      <c r="C7" s="9" t="n">
        <v>8</v>
      </c>
      <c r="D7" s="9" t="n">
        <v>60</v>
      </c>
      <c r="E7" s="22" t="n">
        <f aca="false">IF(B7="","",B7/60*'Meu custo por hora'!$B$25)</f>
        <v>53.4286729436845</v>
      </c>
      <c r="F7" s="22" t="n">
        <f aca="false">IF(B7="","",E7+C7)</f>
        <v>61.4286729436845</v>
      </c>
      <c r="G7" s="23" t="n">
        <f aca="false">IF(B7="","",ROUNDUP(F7/(1-'Meu custo por hora'!$B$28-'Meu custo por hora'!$B$29),0))</f>
        <v>72</v>
      </c>
      <c r="H7" s="22" t="n">
        <f aca="false">IF(OR(B7="",D7=""),"",D7*(1-'Meu custo por hora'!$B$28)-F7)</f>
        <v>-3.8286729436845</v>
      </c>
      <c r="I7" s="24" t="str">
        <f aca="false">IF(OR(B7="",D7=""),"",IF(D7&gt;=G7,"OK: preço cobre custos e margem",IF(H7&gt;=0,"Atenção: pouca folga","PREJUÍZO: preço abaixo do custo")))</f>
        <v>PREJUÍZO: preço abaixo do custo</v>
      </c>
    </row>
    <row r="8" customFormat="false" ht="15" hidden="false" customHeight="false" outlineLevel="0" collapsed="false">
      <c r="A8" s="21" t="s">
        <v>58</v>
      </c>
      <c r="B8" s="21" t="n">
        <v>75</v>
      </c>
      <c r="C8" s="9" t="n">
        <v>12</v>
      </c>
      <c r="D8" s="9" t="n">
        <v>70</v>
      </c>
      <c r="E8" s="22" t="n">
        <f aca="false">IF(B8="","",B8/60*'Meu custo por hora'!$B$25)</f>
        <v>44.5238941197371</v>
      </c>
      <c r="F8" s="22" t="n">
        <f aca="false">IF(B8="","",E8+C8)</f>
        <v>56.5238941197371</v>
      </c>
      <c r="G8" s="23" t="n">
        <f aca="false">IF(B8="","",ROUNDUP(F8/(1-'Meu custo por hora'!$B$28-'Meu custo por hora'!$B$29),0))</f>
        <v>66</v>
      </c>
      <c r="H8" s="22" t="n">
        <f aca="false">IF(OR(B8="",D8=""),"",D8*(1-'Meu custo por hora'!$B$28)-F8)</f>
        <v>10.6761058802629</v>
      </c>
      <c r="I8" s="24" t="str">
        <f aca="false">IF(OR(B8="",D8=""),"",IF(D8&gt;=G8,"OK: preço cobre custos e margem",IF(H8&gt;=0,"Atenção: pouca folga","PREJUÍZO: preço abaixo do custo")))</f>
        <v>OK: preço cobre custos e margem</v>
      </c>
    </row>
    <row r="9" customFormat="false" ht="15" hidden="false" customHeight="false" outlineLevel="0" collapsed="false">
      <c r="A9" s="21" t="s">
        <v>59</v>
      </c>
      <c r="B9" s="21" t="n">
        <v>90</v>
      </c>
      <c r="C9" s="9" t="n">
        <v>18</v>
      </c>
      <c r="D9" s="9" t="n">
        <v>90</v>
      </c>
      <c r="E9" s="22" t="n">
        <f aca="false">IF(B9="","",B9/60*'Meu custo por hora'!$B$25)</f>
        <v>53.4286729436845</v>
      </c>
      <c r="F9" s="22" t="n">
        <f aca="false">IF(B9="","",E9+C9)</f>
        <v>71.4286729436845</v>
      </c>
      <c r="G9" s="23" t="n">
        <f aca="false">IF(B9="","",ROUNDUP(F9/(1-'Meu custo por hora'!$B$28-'Meu custo por hora'!$B$29),0))</f>
        <v>84</v>
      </c>
      <c r="H9" s="22" t="n">
        <f aca="false">IF(OR(B9="",D9=""),"",D9*(1-'Meu custo por hora'!$B$28)-F9)</f>
        <v>14.9713270563155</v>
      </c>
      <c r="I9" s="24" t="str">
        <f aca="false">IF(OR(B9="",D9=""),"",IF(D9&gt;=G9,"OK: preço cobre custos e margem",IF(H9&gt;=0,"Atenção: pouca folga","PREJUÍZO: preço abaixo do custo")))</f>
        <v>OK: preço cobre custos e margem</v>
      </c>
    </row>
    <row r="10" customFormat="false" ht="15" hidden="false" customHeight="false" outlineLevel="0" collapsed="false">
      <c r="A10" s="21" t="s">
        <v>60</v>
      </c>
      <c r="B10" s="21" t="n">
        <v>150</v>
      </c>
      <c r="C10" s="9" t="n">
        <v>35</v>
      </c>
      <c r="D10" s="9" t="n">
        <v>180</v>
      </c>
      <c r="E10" s="22" t="n">
        <f aca="false">IF(B10="","",B10/60*'Meu custo por hora'!$B$25)</f>
        <v>89.0477882394742</v>
      </c>
      <c r="F10" s="22" t="n">
        <f aca="false">IF(B10="","",E10+C10)</f>
        <v>124.047788239474</v>
      </c>
      <c r="G10" s="23" t="n">
        <f aca="false">IF(B10="","",ROUNDUP(F10/(1-'Meu custo por hora'!$B$28-'Meu custo por hora'!$B$29),0))</f>
        <v>145</v>
      </c>
      <c r="H10" s="22" t="n">
        <f aca="false">IF(OR(B10="",D10=""),"",D10*(1-'Meu custo por hora'!$B$28)-F10)</f>
        <v>48.7522117605258</v>
      </c>
      <c r="I10" s="24" t="str">
        <f aca="false">IF(OR(B10="",D10=""),"",IF(D10&gt;=G10,"OK: preço cobre custos e margem",IF(H10&gt;=0,"Atenção: pouca folga","PREJUÍZO: preço abaixo do custo")))</f>
        <v>OK: preço cobre custos e margem</v>
      </c>
    </row>
    <row r="11" customFormat="false" ht="15" hidden="false" customHeight="false" outlineLevel="0" collapsed="false">
      <c r="A11" s="21" t="s">
        <v>61</v>
      </c>
      <c r="B11" s="21" t="n">
        <v>120</v>
      </c>
      <c r="C11" s="9" t="n">
        <v>22</v>
      </c>
      <c r="D11" s="9" t="n">
        <v>120</v>
      </c>
      <c r="E11" s="22" t="n">
        <f aca="false">IF(B11="","",B11/60*'Meu custo por hora'!$B$25)</f>
        <v>71.2382305915793</v>
      </c>
      <c r="F11" s="22" t="n">
        <f aca="false">IF(B11="","",E11+C11)</f>
        <v>93.2382305915793</v>
      </c>
      <c r="G11" s="23" t="n">
        <f aca="false">IF(B11="","",ROUNDUP(F11/(1-'Meu custo por hora'!$B$28-'Meu custo por hora'!$B$29),0))</f>
        <v>109</v>
      </c>
      <c r="H11" s="22" t="n">
        <f aca="false">IF(OR(B11="",D11=""),"",D11*(1-'Meu custo por hora'!$B$28)-F11)</f>
        <v>21.9617694084207</v>
      </c>
      <c r="I11" s="24" t="str">
        <f aca="false">IF(OR(B11="",D11=""),"",IF(D11&gt;=G11,"OK: preço cobre custos e margem",IF(H11&gt;=0,"Atenção: pouca folga","PREJUÍZO: preço abaixo do custo")))</f>
        <v>OK: preço cobre custos e margem</v>
      </c>
    </row>
    <row r="12" customFormat="false" ht="15" hidden="false" customHeight="false" outlineLevel="0" collapsed="false">
      <c r="A12" s="21" t="s">
        <v>62</v>
      </c>
      <c r="B12" s="21" t="n">
        <v>30</v>
      </c>
      <c r="C12" s="9" t="n">
        <v>3</v>
      </c>
      <c r="D12" s="9" t="n">
        <v>25</v>
      </c>
      <c r="E12" s="22" t="n">
        <f aca="false">IF(B12="","",B12/60*'Meu custo por hora'!$B$25)</f>
        <v>17.8095576478948</v>
      </c>
      <c r="F12" s="22" t="n">
        <f aca="false">IF(B12="","",E12+C12)</f>
        <v>20.8095576478948</v>
      </c>
      <c r="G12" s="23" t="n">
        <f aca="false">IF(B12="","",ROUNDUP(F12/(1-'Meu custo por hora'!$B$28-'Meu custo por hora'!$B$29),0))</f>
        <v>25</v>
      </c>
      <c r="H12" s="22" t="n">
        <f aca="false">IF(OR(B12="",D12=""),"",D12*(1-'Meu custo por hora'!$B$28)-F12)</f>
        <v>3.19044235210517</v>
      </c>
      <c r="I12" s="24" t="str">
        <f aca="false">IF(OR(B12="",D12=""),"",IF(D12&gt;=G12,"OK: preço cobre custos e margem",IF(H12&gt;=0,"Atenção: pouca folga","PREJUÍZO: preço abaixo do custo")))</f>
        <v>OK: preço cobre custos e margem</v>
      </c>
    </row>
    <row r="13" customFormat="false" ht="15" hidden="false" customHeight="false" outlineLevel="0" collapsed="false">
      <c r="A13" s="21"/>
      <c r="B13" s="21"/>
      <c r="C13" s="9"/>
      <c r="D13" s="9"/>
      <c r="E13" s="22" t="str">
        <f aca="false">IF(B13="","",B13/60*'Meu custo por hora'!$B$25)</f>
        <v/>
      </c>
      <c r="F13" s="22" t="str">
        <f aca="false">IF(B13="","",E13+C13)</f>
        <v/>
      </c>
      <c r="G13" s="23" t="str">
        <f aca="false">IF(B13="","",ROUNDUP(F13/(1-'Meu custo por hora'!$B$28-'Meu custo por hora'!$B$29),0))</f>
        <v/>
      </c>
      <c r="H13" s="22" t="str">
        <f aca="false">IF(OR(B13="",D13=""),"",D13*(1-'Meu custo por hora'!$B$28)-F13)</f>
        <v/>
      </c>
      <c r="I13" s="24" t="str">
        <f aca="false">IF(OR(B13="",D13=""),"",IF(D13&gt;=G13,"OK: preço cobre custos e margem",IF(H13&gt;=0,"Atenção: pouca folga","PREJUÍZO: preço abaixo do custo")))</f>
        <v/>
      </c>
    </row>
    <row r="14" customFormat="false" ht="15" hidden="false" customHeight="false" outlineLevel="0" collapsed="false">
      <c r="A14" s="21"/>
      <c r="B14" s="21"/>
      <c r="C14" s="9"/>
      <c r="D14" s="9"/>
      <c r="E14" s="22" t="str">
        <f aca="false">IF(B14="","",B14/60*'Meu custo por hora'!$B$25)</f>
        <v/>
      </c>
      <c r="F14" s="22" t="str">
        <f aca="false">IF(B14="","",E14+C14)</f>
        <v/>
      </c>
      <c r="G14" s="23" t="str">
        <f aca="false">IF(B14="","",ROUNDUP(F14/(1-'Meu custo por hora'!$B$28-'Meu custo por hora'!$B$29),0))</f>
        <v/>
      </c>
      <c r="H14" s="22" t="str">
        <f aca="false">IF(OR(B14="",D14=""),"",D14*(1-'Meu custo por hora'!$B$28)-F14)</f>
        <v/>
      </c>
      <c r="I14" s="24" t="str">
        <f aca="false">IF(OR(B14="",D14=""),"",IF(D14&gt;=G14,"OK: preço cobre custos e margem",IF(H14&gt;=0,"Atenção: pouca folga","PREJUÍZO: preço abaixo do custo")))</f>
        <v/>
      </c>
    </row>
    <row r="15" customFormat="false" ht="15" hidden="false" customHeight="false" outlineLevel="0" collapsed="false">
      <c r="A15" s="21"/>
      <c r="B15" s="21"/>
      <c r="C15" s="9"/>
      <c r="D15" s="9"/>
      <c r="E15" s="22" t="str">
        <f aca="false">IF(B15="","",B15/60*'Meu custo por hora'!$B$25)</f>
        <v/>
      </c>
      <c r="F15" s="22" t="str">
        <f aca="false">IF(B15="","",E15+C15)</f>
        <v/>
      </c>
      <c r="G15" s="23" t="str">
        <f aca="false">IF(B15="","",ROUNDUP(F15/(1-'Meu custo por hora'!$B$28-'Meu custo por hora'!$B$29),0))</f>
        <v/>
      </c>
      <c r="H15" s="22" t="str">
        <f aca="false">IF(OR(B15="",D15=""),"",D15*(1-'Meu custo por hora'!$B$28)-F15)</f>
        <v/>
      </c>
      <c r="I15" s="24" t="str">
        <f aca="false">IF(OR(B15="",D15=""),"",IF(D15&gt;=G15,"OK: preço cobre custos e margem",IF(H15&gt;=0,"Atenção: pouca folga","PREJUÍZO: preço abaixo do custo")))</f>
        <v/>
      </c>
    </row>
    <row r="16" customFormat="false" ht="15" hidden="false" customHeight="false" outlineLevel="0" collapsed="false">
      <c r="A16" s="21"/>
      <c r="B16" s="21"/>
      <c r="C16" s="9"/>
      <c r="D16" s="9"/>
      <c r="E16" s="22" t="str">
        <f aca="false">IF(B16="","",B16/60*'Meu custo por hora'!$B$25)</f>
        <v/>
      </c>
      <c r="F16" s="22" t="str">
        <f aca="false">IF(B16="","",E16+C16)</f>
        <v/>
      </c>
      <c r="G16" s="23" t="str">
        <f aca="false">IF(B16="","",ROUNDUP(F16/(1-'Meu custo por hora'!$B$28-'Meu custo por hora'!$B$29),0))</f>
        <v/>
      </c>
      <c r="H16" s="22" t="str">
        <f aca="false">IF(OR(B16="",D16=""),"",D16*(1-'Meu custo por hora'!$B$28)-F16)</f>
        <v/>
      </c>
      <c r="I16" s="24" t="str">
        <f aca="false">IF(OR(B16="",D16=""),"",IF(D16&gt;=G16,"OK: preço cobre custos e margem",IF(H16&gt;=0,"Atenção: pouca folga","PREJUÍZO: preço abaixo do custo")))</f>
        <v/>
      </c>
    </row>
    <row r="17" customFormat="false" ht="15" hidden="false" customHeight="false" outlineLevel="0" collapsed="false">
      <c r="A17" s="21"/>
      <c r="B17" s="21"/>
      <c r="C17" s="9"/>
      <c r="D17" s="9"/>
      <c r="E17" s="22" t="str">
        <f aca="false">IF(B17="","",B17/60*'Meu custo por hora'!$B$25)</f>
        <v/>
      </c>
      <c r="F17" s="22" t="str">
        <f aca="false">IF(B17="","",E17+C17)</f>
        <v/>
      </c>
      <c r="G17" s="23" t="str">
        <f aca="false">IF(B17="","",ROUNDUP(F17/(1-'Meu custo por hora'!$B$28-'Meu custo por hora'!$B$29),0))</f>
        <v/>
      </c>
      <c r="H17" s="22" t="str">
        <f aca="false">IF(OR(B17="",D17=""),"",D17*(1-'Meu custo por hora'!$B$28)-F17)</f>
        <v/>
      </c>
      <c r="I17" s="24" t="str">
        <f aca="false">IF(OR(B17="",D17=""),"",IF(D17&gt;=G17,"OK: preço cobre custos e margem",IF(H17&gt;=0,"Atenção: pouca folga","PREJUÍZO: preço abaixo do custo")))</f>
        <v/>
      </c>
    </row>
    <row r="18" customFormat="false" ht="15" hidden="false" customHeight="false" outlineLevel="0" collapsed="false">
      <c r="A18" s="21"/>
      <c r="B18" s="21"/>
      <c r="C18" s="9"/>
      <c r="D18" s="9"/>
      <c r="E18" s="22" t="str">
        <f aca="false">IF(B18="","",B18/60*'Meu custo por hora'!$B$25)</f>
        <v/>
      </c>
      <c r="F18" s="22" t="str">
        <f aca="false">IF(B18="","",E18+C18)</f>
        <v/>
      </c>
      <c r="G18" s="23" t="str">
        <f aca="false">IF(B18="","",ROUNDUP(F18/(1-'Meu custo por hora'!$B$28-'Meu custo por hora'!$B$29),0))</f>
        <v/>
      </c>
      <c r="H18" s="22" t="str">
        <f aca="false">IF(OR(B18="",D18=""),"",D18*(1-'Meu custo por hora'!$B$28)-F18)</f>
        <v/>
      </c>
      <c r="I18" s="24" t="str">
        <f aca="false">IF(OR(B18="",D18=""),"",IF(D18&gt;=G18,"OK: preço cobre custos e margem",IF(H18&gt;=0,"Atenção: pouca folga","PREJUÍZO: preço abaixo do custo")))</f>
        <v/>
      </c>
    </row>
    <row r="19" customFormat="false" ht="15" hidden="false" customHeight="false" outlineLevel="0" collapsed="false">
      <c r="A19" s="21"/>
      <c r="B19" s="21"/>
      <c r="C19" s="9"/>
      <c r="D19" s="9"/>
      <c r="E19" s="22" t="str">
        <f aca="false">IF(B19="","",B19/60*'Meu custo por hora'!$B$25)</f>
        <v/>
      </c>
      <c r="F19" s="22" t="str">
        <f aca="false">IF(B19="","",E19+C19)</f>
        <v/>
      </c>
      <c r="G19" s="23" t="str">
        <f aca="false">IF(B19="","",ROUNDUP(F19/(1-'Meu custo por hora'!$B$28-'Meu custo por hora'!$B$29),0))</f>
        <v/>
      </c>
      <c r="H19" s="22" t="str">
        <f aca="false">IF(OR(B19="",D19=""),"",D19*(1-'Meu custo por hora'!$B$28)-F19)</f>
        <v/>
      </c>
      <c r="I19" s="24" t="str">
        <f aca="false">IF(OR(B19="",D19=""),"",IF(D19&gt;=G19,"OK: preço cobre custos e margem",IF(H19&gt;=0,"Atenção: pouca folga","PREJUÍZO: preço abaixo do custo")))</f>
        <v/>
      </c>
    </row>
    <row r="20" customFormat="false" ht="15" hidden="false" customHeight="false" outlineLevel="0" collapsed="false">
      <c r="A20" s="21"/>
      <c r="B20" s="21"/>
      <c r="C20" s="9"/>
      <c r="D20" s="9"/>
      <c r="E20" s="22" t="str">
        <f aca="false">IF(B20="","",B20/60*'Meu custo por hora'!$B$25)</f>
        <v/>
      </c>
      <c r="F20" s="22" t="str">
        <f aca="false">IF(B20="","",E20+C20)</f>
        <v/>
      </c>
      <c r="G20" s="23" t="str">
        <f aca="false">IF(B20="","",ROUNDUP(F20/(1-'Meu custo por hora'!$B$28-'Meu custo por hora'!$B$29),0))</f>
        <v/>
      </c>
      <c r="H20" s="22" t="str">
        <f aca="false">IF(OR(B20="",D20=""),"",D20*(1-'Meu custo por hora'!$B$28)-F20)</f>
        <v/>
      </c>
      <c r="I20" s="24" t="str">
        <f aca="false">IF(OR(B20="",D20=""),"",IF(D20&gt;=G20,"OK: preço cobre custos e margem",IF(H20&gt;=0,"Atenção: pouca folga","PREJUÍZO: preço abaixo do custo")))</f>
        <v/>
      </c>
    </row>
    <row r="21" customFormat="false" ht="15" hidden="false" customHeight="false" outlineLevel="0" collapsed="false">
      <c r="A21" s="21"/>
      <c r="B21" s="21"/>
      <c r="C21" s="9"/>
      <c r="D21" s="9"/>
      <c r="E21" s="22" t="str">
        <f aca="false">IF(B21="","",B21/60*'Meu custo por hora'!$B$25)</f>
        <v/>
      </c>
      <c r="F21" s="22" t="str">
        <f aca="false">IF(B21="","",E21+C21)</f>
        <v/>
      </c>
      <c r="G21" s="23" t="str">
        <f aca="false">IF(B21="","",ROUNDUP(F21/(1-'Meu custo por hora'!$B$28-'Meu custo por hora'!$B$29),0))</f>
        <v/>
      </c>
      <c r="H21" s="22" t="str">
        <f aca="false">IF(OR(B21="",D21=""),"",D21*(1-'Meu custo por hora'!$B$28)-F21)</f>
        <v/>
      </c>
      <c r="I21" s="24" t="str">
        <f aca="false">IF(OR(B21="",D21=""),"",IF(D21&gt;=G21,"OK: preço cobre custos e margem",IF(H21&gt;=0,"Atenção: pouca folga","PREJUÍZO: preço abaixo do custo")))</f>
        <v/>
      </c>
    </row>
    <row r="22" customFormat="false" ht="15" hidden="false" customHeight="false" outlineLevel="0" collapsed="false">
      <c r="A22" s="21"/>
      <c r="B22" s="21"/>
      <c r="C22" s="9"/>
      <c r="D22" s="9"/>
      <c r="E22" s="22" t="str">
        <f aca="false">IF(B22="","",B22/60*'Meu custo por hora'!$B$25)</f>
        <v/>
      </c>
      <c r="F22" s="22" t="str">
        <f aca="false">IF(B22="","",E22+C22)</f>
        <v/>
      </c>
      <c r="G22" s="23" t="str">
        <f aca="false">IF(B22="","",ROUNDUP(F22/(1-'Meu custo por hora'!$B$28-'Meu custo por hora'!$B$29),0))</f>
        <v/>
      </c>
      <c r="H22" s="22" t="str">
        <f aca="false">IF(OR(B22="",D22=""),"",D22*(1-'Meu custo por hora'!$B$28)-F22)</f>
        <v/>
      </c>
      <c r="I22" s="24" t="str">
        <f aca="false">IF(OR(B22="",D22=""),"",IF(D22&gt;=G22,"OK: preço cobre custos e margem",IF(H22&gt;=0,"Atenção: pouca folga","PREJUÍZO: preço abaixo do custo")))</f>
        <v/>
      </c>
    </row>
    <row r="23" customFormat="false" ht="15" hidden="false" customHeight="false" outlineLevel="0" collapsed="false">
      <c r="A23" s="21"/>
      <c r="B23" s="21"/>
      <c r="C23" s="9"/>
      <c r="D23" s="9"/>
      <c r="E23" s="22" t="str">
        <f aca="false">IF(B23="","",B23/60*'Meu custo por hora'!$B$25)</f>
        <v/>
      </c>
      <c r="F23" s="22" t="str">
        <f aca="false">IF(B23="","",E23+C23)</f>
        <v/>
      </c>
      <c r="G23" s="23" t="str">
        <f aca="false">IF(B23="","",ROUNDUP(F23/(1-'Meu custo por hora'!$B$28-'Meu custo por hora'!$B$29),0))</f>
        <v/>
      </c>
      <c r="H23" s="22" t="str">
        <f aca="false">IF(OR(B23="",D23=""),"",D23*(1-'Meu custo por hora'!$B$28)-F23)</f>
        <v/>
      </c>
      <c r="I23" s="24" t="str">
        <f aca="false">IF(OR(B23="",D23=""),"",IF(D23&gt;=G23,"OK: preço cobre custos e margem",IF(H23&gt;=0,"Atenção: pouca folga","PREJUÍZO: preço abaixo do custo")))</f>
        <v/>
      </c>
    </row>
    <row r="24" customFormat="false" ht="15" hidden="false" customHeight="false" outlineLevel="0" collapsed="false">
      <c r="A24" s="21"/>
      <c r="B24" s="21"/>
      <c r="C24" s="9"/>
      <c r="D24" s="9"/>
      <c r="E24" s="22" t="str">
        <f aca="false">IF(B24="","",B24/60*'Meu custo por hora'!$B$25)</f>
        <v/>
      </c>
      <c r="F24" s="22" t="str">
        <f aca="false">IF(B24="","",E24+C24)</f>
        <v/>
      </c>
      <c r="G24" s="23" t="str">
        <f aca="false">IF(B24="","",ROUNDUP(F24/(1-'Meu custo por hora'!$B$28-'Meu custo por hora'!$B$29),0))</f>
        <v/>
      </c>
      <c r="H24" s="22" t="str">
        <f aca="false">IF(OR(B24="",D24=""),"",D24*(1-'Meu custo por hora'!$B$28)-F24)</f>
        <v/>
      </c>
      <c r="I24" s="24" t="str">
        <f aca="false">IF(OR(B24="",D24=""),"",IF(D24&gt;=G24,"OK: preço cobre custos e margem",IF(H24&gt;=0,"Atenção: pouca folga","PREJUÍZO: preço abaixo do custo")))</f>
        <v/>
      </c>
    </row>
    <row r="25" customFormat="false" ht="15" hidden="false" customHeight="false" outlineLevel="0" collapsed="false">
      <c r="A25" s="21"/>
      <c r="B25" s="21"/>
      <c r="C25" s="9"/>
      <c r="D25" s="9"/>
      <c r="E25" s="22" t="str">
        <f aca="false">IF(B25="","",B25/60*'Meu custo por hora'!$B$25)</f>
        <v/>
      </c>
      <c r="F25" s="22" t="str">
        <f aca="false">IF(B25="","",E25+C25)</f>
        <v/>
      </c>
      <c r="G25" s="23" t="str">
        <f aca="false">IF(B25="","",ROUNDUP(F25/(1-'Meu custo por hora'!$B$28-'Meu custo por hora'!$B$29),0))</f>
        <v/>
      </c>
      <c r="H25" s="22" t="str">
        <f aca="false">IF(OR(B25="",D25=""),"",D25*(1-'Meu custo por hora'!$B$28)-F25)</f>
        <v/>
      </c>
      <c r="I25" s="24" t="str">
        <f aca="false">IF(OR(B25="",D25=""),"",IF(D25&gt;=G25,"OK: preço cobre custos e margem",IF(H25&gt;=0,"Atenção: pouca folga","PREJUÍZO: preço abaixo do custo")))</f>
        <v/>
      </c>
    </row>
    <row r="26" customFormat="false" ht="15" hidden="false" customHeight="false" outlineLevel="0" collapsed="false">
      <c r="A26" s="21"/>
      <c r="B26" s="21"/>
      <c r="C26" s="9"/>
      <c r="D26" s="9"/>
      <c r="E26" s="22" t="str">
        <f aca="false">IF(B26="","",B26/60*'Meu custo por hora'!$B$25)</f>
        <v/>
      </c>
      <c r="F26" s="22" t="str">
        <f aca="false">IF(B26="","",E26+C26)</f>
        <v/>
      </c>
      <c r="G26" s="23" t="str">
        <f aca="false">IF(B26="","",ROUNDUP(F26/(1-'Meu custo por hora'!$B$28-'Meu custo por hora'!$B$29),0))</f>
        <v/>
      </c>
      <c r="H26" s="22" t="str">
        <f aca="false">IF(OR(B26="",D26=""),"",D26*(1-'Meu custo por hora'!$B$28)-F26)</f>
        <v/>
      </c>
      <c r="I26" s="24" t="str">
        <f aca="false">IF(OR(B26="",D26=""),"",IF(D26&gt;=G26,"OK: preço cobre custos e margem",IF(H26&gt;=0,"Atenção: pouca folga","PREJUÍZO: preço abaixo do custo")))</f>
        <v/>
      </c>
    </row>
    <row r="27" customFormat="false" ht="15" hidden="false" customHeight="false" outlineLevel="0" collapsed="false">
      <c r="A27" s="21"/>
      <c r="B27" s="21"/>
      <c r="C27" s="9"/>
      <c r="D27" s="9"/>
      <c r="E27" s="22" t="str">
        <f aca="false">IF(B27="","",B27/60*'Meu custo por hora'!$B$25)</f>
        <v/>
      </c>
      <c r="F27" s="22" t="str">
        <f aca="false">IF(B27="","",E27+C27)</f>
        <v/>
      </c>
      <c r="G27" s="23" t="str">
        <f aca="false">IF(B27="","",ROUNDUP(F27/(1-'Meu custo por hora'!$B$28-'Meu custo por hora'!$B$29),0))</f>
        <v/>
      </c>
      <c r="H27" s="22" t="str">
        <f aca="false">IF(OR(B27="",D27=""),"",D27*(1-'Meu custo por hora'!$B$28)-F27)</f>
        <v/>
      </c>
      <c r="I27" s="24" t="str">
        <f aca="false">IF(OR(B27="",D27=""),"",IF(D27&gt;=G27,"OK: preço cobre custos e margem",IF(H27&gt;=0,"Atenção: pouca folga","PREJUÍZO: preço abaixo do custo")))</f>
        <v/>
      </c>
    </row>
    <row r="28" customFormat="false" ht="15" hidden="false" customHeight="false" outlineLevel="0" collapsed="false">
      <c r="A28" s="21"/>
      <c r="B28" s="21"/>
      <c r="C28" s="9"/>
      <c r="D28" s="9"/>
      <c r="E28" s="22" t="str">
        <f aca="false">IF(B28="","",B28/60*'Meu custo por hora'!$B$25)</f>
        <v/>
      </c>
      <c r="F28" s="22" t="str">
        <f aca="false">IF(B28="","",E28+C28)</f>
        <v/>
      </c>
      <c r="G28" s="23" t="str">
        <f aca="false">IF(B28="","",ROUNDUP(F28/(1-'Meu custo por hora'!$B$28-'Meu custo por hora'!$B$29),0))</f>
        <v/>
      </c>
      <c r="H28" s="22" t="str">
        <f aca="false">IF(OR(B28="",D28=""),"",D28*(1-'Meu custo por hora'!$B$28)-F28)</f>
        <v/>
      </c>
      <c r="I28" s="24" t="str">
        <f aca="false">IF(OR(B28="",D28=""),"",IF(D28&gt;=G28,"OK: preço cobre custos e margem",IF(H28&gt;=0,"Atenção: pouca folga","PREJUÍZO: preço abaixo do custo")))</f>
        <v/>
      </c>
    </row>
    <row r="29" customFormat="false" ht="15" hidden="false" customHeight="false" outlineLevel="0" collapsed="false">
      <c r="A29" s="21"/>
      <c r="B29" s="21"/>
      <c r="C29" s="9"/>
      <c r="D29" s="9"/>
      <c r="E29" s="22" t="str">
        <f aca="false">IF(B29="","",B29/60*'Meu custo por hora'!$B$25)</f>
        <v/>
      </c>
      <c r="F29" s="22" t="str">
        <f aca="false">IF(B29="","",E29+C29)</f>
        <v/>
      </c>
      <c r="G29" s="23" t="str">
        <f aca="false">IF(B29="","",ROUNDUP(F29/(1-'Meu custo por hora'!$B$28-'Meu custo por hora'!$B$29),0))</f>
        <v/>
      </c>
      <c r="H29" s="22" t="str">
        <f aca="false">IF(OR(B29="",D29=""),"",D29*(1-'Meu custo por hora'!$B$28)-F29)</f>
        <v/>
      </c>
      <c r="I29" s="24" t="str">
        <f aca="false">IF(OR(B29="",D29=""),"",IF(D29&gt;=G29,"OK: preço cobre custos e margem",IF(H29&gt;=0,"Atenção: pouca folga","PREJUÍZO: preço abaixo do custo")))</f>
        <v/>
      </c>
    </row>
    <row r="31" customFormat="false" ht="15" hidden="false" customHeight="false" outlineLevel="0" collapsed="false">
      <c r="A31" s="25" t="s">
        <v>63</v>
      </c>
    </row>
    <row r="32" customFormat="false" ht="15" hidden="false" customHeight="false" outlineLevel="0" collapsed="false">
      <c r="A32" s="25" t="s">
        <v>64</v>
      </c>
    </row>
    <row r="33" customFormat="false" ht="15" hidden="false" customHeight="false" outlineLevel="0" collapsed="false">
      <c r="A33" s="25" t="s">
        <v>65</v>
      </c>
    </row>
    <row r="34" customFormat="false" ht="15" hidden="false" customHeight="false" outlineLevel="0" collapsed="false">
      <c r="A34" s="25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4" t="s">
        <v>67</v>
      </c>
    </row>
    <row r="3" customFormat="false" ht="15" hidden="false" customHeight="false" outlineLevel="0" collapsed="false">
      <c r="A3" s="6" t="s">
        <v>46</v>
      </c>
      <c r="B3" s="6" t="s">
        <v>68</v>
      </c>
    </row>
    <row r="4" customFormat="false" ht="15" hidden="false" customHeight="false" outlineLevel="0" collapsed="false">
      <c r="A4" s="8" t="str">
        <f aca="false">IF('Meus serviços'!B5="","",'Meus serviços'!A5)</f>
        <v>Esmaltação simples (mão)</v>
      </c>
      <c r="B4" s="12" t="n">
        <f aca="false">IF('Meus serviços'!B5="","",IF('Meus serviços'!D5&gt;='Meus serviços'!G5,'Meus serviços'!D5,'Meus serviços'!G5))</f>
        <v>36</v>
      </c>
    </row>
    <row r="5" customFormat="false" ht="15" hidden="false" customHeight="false" outlineLevel="0" collapsed="false">
      <c r="A5" s="8" t="str">
        <f aca="false">IF('Meus serviços'!B6="","",'Meus serviços'!A6)</f>
        <v>Esmaltação simples (pé)</v>
      </c>
      <c r="B5" s="12" t="n">
        <f aca="false">IF('Meus serviços'!B6="","",IF('Meus serviços'!D6&gt;='Meus serviços'!G6,'Meus serviços'!D6,'Meus serviços'!G6))</f>
        <v>40</v>
      </c>
    </row>
    <row r="6" customFormat="false" ht="15" hidden="false" customHeight="false" outlineLevel="0" collapsed="false">
      <c r="A6" s="8" t="str">
        <f aca="false">IF('Meus serviços'!B7="","",'Meus serviços'!A7)</f>
        <v>Mão + pé</v>
      </c>
      <c r="B6" s="12" t="n">
        <f aca="false">IF('Meus serviços'!B7="","",IF('Meus serviços'!D7&gt;='Meus serviços'!G7,'Meus serviços'!D7,'Meus serviços'!G7))</f>
        <v>72</v>
      </c>
    </row>
    <row r="7" customFormat="false" ht="15" hidden="false" customHeight="false" outlineLevel="0" collapsed="false">
      <c r="A7" s="8" t="str">
        <f aca="false">IF('Meus serviços'!B8="","",'Meus serviços'!A8)</f>
        <v>Esmaltação em gel (mão)</v>
      </c>
      <c r="B7" s="12" t="n">
        <f aca="false">IF('Meus serviços'!B8="","",IF('Meus serviços'!D8&gt;='Meus serviços'!G8,'Meus serviços'!D8,'Meus serviços'!G8))</f>
        <v>70</v>
      </c>
    </row>
    <row r="8" customFormat="false" ht="15" hidden="false" customHeight="false" outlineLevel="0" collapsed="false">
      <c r="A8" s="8" t="str">
        <f aca="false">IF('Meus serviços'!B9="","",'Meus serviços'!A9)</f>
        <v>Blindagem</v>
      </c>
      <c r="B8" s="12" t="n">
        <f aca="false">IF('Meus serviços'!B9="","",IF('Meus serviços'!D9&gt;='Meus serviços'!G9,'Meus serviços'!D9,'Meus serviços'!G9))</f>
        <v>90</v>
      </c>
    </row>
    <row r="9" customFormat="false" ht="15" hidden="false" customHeight="false" outlineLevel="0" collapsed="false">
      <c r="A9" s="8" t="str">
        <f aca="false">IF('Meus serviços'!B10="","",'Meus serviços'!A10)</f>
        <v>Alongamento em gel</v>
      </c>
      <c r="B9" s="12" t="n">
        <f aca="false">IF('Meus serviços'!B10="","",IF('Meus serviços'!D10&gt;='Meus serviços'!G10,'Meus serviços'!D10,'Meus serviços'!G10))</f>
        <v>180</v>
      </c>
    </row>
    <row r="10" customFormat="false" ht="15" hidden="false" customHeight="false" outlineLevel="0" collapsed="false">
      <c r="A10" s="8" t="str">
        <f aca="false">IF('Meus serviços'!B11="","",'Meus serviços'!A11)</f>
        <v>Manutenção de alongamento</v>
      </c>
      <c r="B10" s="12" t="n">
        <f aca="false">IF('Meus serviços'!B11="","",IF('Meus serviços'!D11&gt;='Meus serviços'!G11,'Meus serviços'!D11,'Meus serviços'!G11))</f>
        <v>120</v>
      </c>
    </row>
    <row r="11" customFormat="false" ht="15" hidden="false" customHeight="false" outlineLevel="0" collapsed="false">
      <c r="A11" s="8" t="str">
        <f aca="false">IF('Meus serviços'!B12="","",'Meus serviços'!A12)</f>
        <v>Remoção</v>
      </c>
      <c r="B11" s="12" t="n">
        <f aca="false">IF('Meus serviços'!B12="","",IF('Meus serviços'!D12&gt;='Meus serviços'!G12,'Meus serviços'!D12,'Meus serviços'!G12))</f>
        <v>25</v>
      </c>
    </row>
    <row r="12" customFormat="false" ht="15" hidden="false" customHeight="false" outlineLevel="0" collapsed="false">
      <c r="A12" s="8" t="str">
        <f aca="false">IF('Meus serviços'!B13="","",'Meus serviços'!A13)</f>
        <v/>
      </c>
      <c r="B12" s="12" t="str">
        <f aca="false">IF('Meus serviços'!B13="","",IF('Meus serviços'!D13&gt;='Meus serviços'!G13,'Meus serviços'!D13,'Meus serviços'!G13))</f>
        <v/>
      </c>
    </row>
    <row r="13" customFormat="false" ht="15" hidden="false" customHeight="false" outlineLevel="0" collapsed="false">
      <c r="A13" s="8" t="str">
        <f aca="false">IF('Meus serviços'!B14="","",'Meus serviços'!A14)</f>
        <v/>
      </c>
      <c r="B13" s="12" t="str">
        <f aca="false">IF('Meus serviços'!B14="","",IF('Meus serviços'!D14&gt;='Meus serviços'!G14,'Meus serviços'!D14,'Meus serviços'!G14))</f>
        <v/>
      </c>
    </row>
    <row r="14" customFormat="false" ht="15" hidden="false" customHeight="false" outlineLevel="0" collapsed="false">
      <c r="A14" s="8" t="str">
        <f aca="false">IF('Meus serviços'!B15="","",'Meus serviços'!A15)</f>
        <v/>
      </c>
      <c r="B14" s="12" t="str">
        <f aca="false">IF('Meus serviços'!B15="","",IF('Meus serviços'!D15&gt;='Meus serviços'!G15,'Meus serviços'!D15,'Meus serviços'!G15))</f>
        <v/>
      </c>
    </row>
    <row r="15" customFormat="false" ht="15" hidden="false" customHeight="false" outlineLevel="0" collapsed="false">
      <c r="A15" s="8" t="str">
        <f aca="false">IF('Meus serviços'!B16="","",'Meus serviços'!A16)</f>
        <v/>
      </c>
      <c r="B15" s="12" t="str">
        <f aca="false">IF('Meus serviços'!B16="","",IF('Meus serviços'!D16&gt;='Meus serviços'!G16,'Meus serviços'!D16,'Meus serviços'!G16))</f>
        <v/>
      </c>
    </row>
    <row r="16" customFormat="false" ht="15" hidden="false" customHeight="false" outlineLevel="0" collapsed="false">
      <c r="A16" s="8" t="str">
        <f aca="false">IF('Meus serviços'!B17="","",'Meus serviços'!A17)</f>
        <v/>
      </c>
      <c r="B16" s="12" t="str">
        <f aca="false">IF('Meus serviços'!B17="","",IF('Meus serviços'!D17&gt;='Meus serviços'!G17,'Meus serviços'!D17,'Meus serviços'!G17))</f>
        <v/>
      </c>
    </row>
    <row r="17" customFormat="false" ht="15" hidden="false" customHeight="false" outlineLevel="0" collapsed="false">
      <c r="A17" s="8" t="str">
        <f aca="false">IF('Meus serviços'!B18="","",'Meus serviços'!A18)</f>
        <v/>
      </c>
      <c r="B17" s="12" t="str">
        <f aca="false">IF('Meus serviços'!B18="","",IF('Meus serviços'!D18&gt;='Meus serviços'!G18,'Meus serviços'!D18,'Meus serviços'!G18))</f>
        <v/>
      </c>
    </row>
    <row r="18" customFormat="false" ht="15" hidden="false" customHeight="false" outlineLevel="0" collapsed="false">
      <c r="A18" s="8" t="str">
        <f aca="false">IF('Meus serviços'!B19="","",'Meus serviços'!A19)</f>
        <v/>
      </c>
      <c r="B18" s="12" t="str">
        <f aca="false">IF('Meus serviços'!B19="","",IF('Meus serviços'!D19&gt;='Meus serviços'!G19,'Meus serviços'!D19,'Meus serviços'!G19))</f>
        <v/>
      </c>
    </row>
    <row r="19" customFormat="false" ht="15" hidden="false" customHeight="false" outlineLevel="0" collapsed="false">
      <c r="A19" s="8" t="str">
        <f aca="false">IF('Meus serviços'!B20="","",'Meus serviços'!A20)</f>
        <v/>
      </c>
      <c r="B19" s="12" t="str">
        <f aca="false">IF('Meus serviços'!B20="","",IF('Meus serviços'!D20&gt;='Meus serviços'!G20,'Meus serviços'!D20,'Meus serviços'!G20))</f>
        <v/>
      </c>
    </row>
    <row r="20" customFormat="false" ht="15" hidden="false" customHeight="false" outlineLevel="0" collapsed="false">
      <c r="A20" s="8" t="str">
        <f aca="false">IF('Meus serviços'!B21="","",'Meus serviços'!A21)</f>
        <v/>
      </c>
      <c r="B20" s="12" t="str">
        <f aca="false">IF('Meus serviços'!B21="","",IF('Meus serviços'!D21&gt;='Meus serviços'!G21,'Meus serviços'!D21,'Meus serviços'!G21))</f>
        <v/>
      </c>
    </row>
    <row r="21" customFormat="false" ht="15" hidden="false" customHeight="false" outlineLevel="0" collapsed="false">
      <c r="A21" s="8" t="str">
        <f aca="false">IF('Meus serviços'!B22="","",'Meus serviços'!A22)</f>
        <v/>
      </c>
      <c r="B21" s="12" t="str">
        <f aca="false">IF('Meus serviços'!B22="","",IF('Meus serviços'!D22&gt;='Meus serviços'!G22,'Meus serviços'!D22,'Meus serviços'!G22))</f>
        <v/>
      </c>
    </row>
    <row r="22" customFormat="false" ht="15" hidden="false" customHeight="false" outlineLevel="0" collapsed="false">
      <c r="A22" s="8" t="str">
        <f aca="false">IF('Meus serviços'!B23="","",'Meus serviços'!A23)</f>
        <v/>
      </c>
      <c r="B22" s="12" t="str">
        <f aca="false">IF('Meus serviços'!B23="","",IF('Meus serviços'!D23&gt;='Meus serviços'!G23,'Meus serviços'!D23,'Meus serviços'!G23))</f>
        <v/>
      </c>
    </row>
    <row r="23" customFormat="false" ht="15" hidden="false" customHeight="false" outlineLevel="0" collapsed="false">
      <c r="A23" s="8" t="str">
        <f aca="false">IF('Meus serviços'!B24="","",'Meus serviços'!A24)</f>
        <v/>
      </c>
      <c r="B23" s="12" t="str">
        <f aca="false">IF('Meus serviços'!B24="","",IF('Meus serviços'!D24&gt;='Meus serviços'!G24,'Meus serviços'!D24,'Meus serviços'!G24))</f>
        <v/>
      </c>
    </row>
    <row r="24" customFormat="false" ht="15" hidden="false" customHeight="false" outlineLevel="0" collapsed="false">
      <c r="A24" s="8" t="str">
        <f aca="false">IF('Meus serviços'!B25="","",'Meus serviços'!A25)</f>
        <v/>
      </c>
      <c r="B24" s="12" t="str">
        <f aca="false">IF('Meus serviços'!B25="","",IF('Meus serviços'!D25&gt;='Meus serviços'!G25,'Meus serviços'!D25,'Meus serviços'!G25))</f>
        <v/>
      </c>
    </row>
    <row r="25" customFormat="false" ht="15" hidden="false" customHeight="false" outlineLevel="0" collapsed="false">
      <c r="A25" s="8" t="str">
        <f aca="false">IF('Meus serviços'!B26="","",'Meus serviços'!A26)</f>
        <v/>
      </c>
      <c r="B25" s="12" t="str">
        <f aca="false">IF('Meus serviços'!B26="","",IF('Meus serviços'!D26&gt;='Meus serviços'!G26,'Meus serviços'!D26,'Meus serviços'!G26))</f>
        <v/>
      </c>
    </row>
    <row r="26" customFormat="false" ht="15" hidden="false" customHeight="false" outlineLevel="0" collapsed="false">
      <c r="A26" s="8" t="str">
        <f aca="false">IF('Meus serviços'!B27="","",'Meus serviços'!A27)</f>
        <v/>
      </c>
      <c r="B26" s="12" t="str">
        <f aca="false">IF('Meus serviços'!B27="","",IF('Meus serviços'!D27&gt;='Meus serviços'!G27,'Meus serviços'!D27,'Meus serviços'!G27))</f>
        <v/>
      </c>
    </row>
    <row r="27" customFormat="false" ht="15" hidden="false" customHeight="false" outlineLevel="0" collapsed="false">
      <c r="A27" s="8" t="str">
        <f aca="false">IF('Meus serviços'!B28="","",'Meus serviços'!A28)</f>
        <v/>
      </c>
      <c r="B27" s="12" t="str">
        <f aca="false">IF('Meus serviços'!B28="","",IF('Meus serviços'!D28&gt;='Meus serviços'!G28,'Meus serviços'!D28,'Meus serviços'!G28))</f>
        <v/>
      </c>
    </row>
    <row r="28" customFormat="false" ht="15" hidden="false" customHeight="false" outlineLevel="0" collapsed="false">
      <c r="A28" s="8" t="str">
        <f aca="false">IF('Meus serviços'!B29="","",'Meus serviços'!A29)</f>
        <v/>
      </c>
      <c r="B28" s="12" t="str">
        <f aca="false">IF('Meus serviços'!B29="","",IF('Meus serviços'!D29&gt;='Meus serviços'!G29,'Meus serviços'!D29,'Meus serviços'!G29))</f>
        <v/>
      </c>
    </row>
    <row r="31" customFormat="false" ht="15" hidden="false" customHeight="false" outlineLevel="0" collapsed="false">
      <c r="A31" s="10" t="s">
        <v>69</v>
      </c>
    </row>
    <row r="32" customFormat="false" ht="15" hidden="false" customHeight="false" outlineLevel="0" collapsed="false">
      <c r="A32" s="10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2026-10-16T17:12:36Z</dcterms:created>
  <dc:creator>openpyxl</dc:creator>
  <dc:description/>
  <dc:language>en-US</dc:language>
  <cp:lastModifiedBy/>
  <dcterms:modified xsi:type="dcterms:W3CDTF">2026-10-16T17:12:37Z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