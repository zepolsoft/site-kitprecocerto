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Meu custo por hora" sheetId="2" state="visible" r:id="rId2"/>
    <sheet xmlns:r="http://schemas.openxmlformats.org/officeDocument/2006/relationships" name="Meus serviços" sheetId="3" state="visible" r:id="rId3"/>
    <sheet xmlns:r="http://schemas.openxmlformats.org/officeDocument/2006/relationships" name="Meu Painel" sheetId="4" state="visible" r:id="rId4"/>
    <sheet xmlns:r="http://schemas.openxmlformats.org/officeDocument/2006/relationships" name="Tabela para divulg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"/>
    <numFmt numFmtId="166" formatCode="0.0%"/>
    <numFmt numFmtId="167" formatCode="R$ #,##0.00;[Red]-R$ #,##0.00"/>
  </numFmts>
  <fonts count="35">
    <font>
      <name val="Calibri"/>
      <family val="2"/>
      <color theme="1"/>
      <sz val="11"/>
      <scheme val="minor"/>
    </font>
    <font>
      <name val="Arial Rounded MT Bold"/>
      <color rgb="00FFFFFF"/>
      <sz val="28"/>
    </font>
    <font>
      <name val="Arial"/>
      <b val="1"/>
      <color rgb="00F6D27A"/>
      <sz val="13"/>
    </font>
    <font>
      <name val="Arial"/>
      <i val="1"/>
      <color rgb="00FFD3E8"/>
      <sz val="10.5"/>
    </font>
    <font>
      <name val="Arial Rounded MT Bold"/>
      <color rgb="003A0A26"/>
      <sz val="18"/>
    </font>
    <font>
      <name val="Arial Rounded MT Bold"/>
      <color rgb="00FFFFFF"/>
      <sz val="22"/>
    </font>
    <font>
      <name val="Arial"/>
      <b val="1"/>
      <color rgb="00C2185B"/>
      <sz val="12"/>
    </font>
    <font>
      <name val="Arial"/>
      <color rgb="007A5266"/>
      <sz val="9.5"/>
    </font>
    <font>
      <name val="Arial"/>
      <b val="1"/>
      <color rgb="003A0A26"/>
      <sz val="10"/>
    </font>
    <font>
      <name val="Arial Rounded MT Bold"/>
      <color rgb="003A0A26"/>
      <sz val="14"/>
    </font>
    <font>
      <name val="Arial"/>
      <color rgb="003A0A26"/>
      <sz val="10"/>
    </font>
    <font>
      <name val="Arial"/>
      <color rgb="007A5266"/>
      <sz val="10"/>
    </font>
    <font>
      <name val="Arial"/>
      <b val="1"/>
      <color rgb="00C2185B"/>
      <sz val="10"/>
    </font>
    <font>
      <name val="Arial"/>
      <b val="1"/>
      <color rgb="00E0B84C"/>
      <sz val="9"/>
    </font>
    <font>
      <name val="Arial Rounded MT Bold"/>
      <color rgb="00FFFFFF"/>
      <sz val="20"/>
    </font>
    <font>
      <name val="Arial"/>
      <i val="1"/>
      <color rgb="007A5266"/>
      <sz val="10"/>
    </font>
    <font>
      <name val="Arial"/>
      <b val="1"/>
      <color rgb="003A0A26"/>
      <sz val="11"/>
    </font>
    <font>
      <name val="Arial"/>
      <color rgb="003A0A26"/>
      <sz val="10.5"/>
    </font>
    <font>
      <name val="Arial"/>
      <i val="1"/>
      <color rgb="007A5266"/>
      <sz val="9"/>
    </font>
    <font>
      <name val="Arial"/>
      <b val="1"/>
      <color rgb="003A0A26"/>
      <sz val="10.5"/>
    </font>
    <font>
      <name val="Arial"/>
      <color rgb="003A0A26"/>
      <sz val="11"/>
    </font>
    <font>
      <name val="Arial Rounded MT Bold"/>
      <color rgb="00C2185B"/>
      <sz val="18"/>
    </font>
    <font>
      <name val="Arial"/>
      <b val="1"/>
      <color rgb="003A0A26"/>
      <sz val="12"/>
    </font>
    <font>
      <name val="Arial"/>
      <b val="1"/>
      <color rgb="00FFFFFF"/>
      <sz val="10"/>
    </font>
    <font>
      <name val="Arial"/>
      <b val="1"/>
      <color rgb="00C2185B"/>
      <sz val="10.5"/>
    </font>
    <font>
      <name val="Arial"/>
      <b val="1"/>
      <color rgb="007A5266"/>
      <sz val="9"/>
    </font>
    <font>
      <name val="Arial Rounded MT Bold"/>
      <color rgb="00C2185B"/>
      <sz val="26"/>
    </font>
    <font>
      <name val="Arial Rounded MT Bold"/>
      <color rgb="00B00040"/>
      <sz val="26"/>
    </font>
    <font>
      <name val="Arial Rounded MT Bold"/>
      <color rgb="001B6B3A"/>
      <sz val="26"/>
    </font>
    <font>
      <name val="Arial Rounded MT Bold"/>
      <color rgb="00C2185B"/>
      <sz val="22"/>
    </font>
    <font>
      <name val="Arial Rounded MT Bold"/>
      <color rgb="001B6B3A"/>
      <sz val="14"/>
    </font>
    <font>
      <name val="Arial Rounded MT Bold"/>
      <color rgb="00B00040"/>
      <sz val="14"/>
    </font>
    <font>
      <name val="Arial"/>
      <b val="1"/>
      <i val="1"/>
      <color rgb="003A0A26"/>
      <sz val="10"/>
    </font>
    <font>
      <name val="Arial"/>
      <b val="1"/>
      <color rgb="00C2185B"/>
      <sz val="11"/>
    </font>
    <font>
      <name val="Arial"/>
      <i val="1"/>
      <color rgb="007A5266"/>
      <sz val="8.5"/>
    </font>
  </fonts>
  <fills count="14">
    <fill>
      <patternFill/>
    </fill>
    <fill>
      <patternFill patternType="gray125"/>
    </fill>
    <fill>
      <patternFill patternType="solid">
        <fgColor rgb="00FFFAF7"/>
      </patternFill>
    </fill>
    <fill>
      <patternFill patternType="solid">
        <fgColor rgb="005A1236"/>
      </patternFill>
    </fill>
    <fill>
      <patternFill patternType="solid">
        <fgColor rgb="00FF4FA3"/>
      </patternFill>
    </fill>
    <fill>
      <patternFill patternType="solid">
        <fgColor rgb="00E91E78"/>
      </patternFill>
    </fill>
    <fill>
      <patternFill patternType="solid">
        <fgColor rgb="00FFFFFF"/>
      </patternFill>
    </fill>
    <fill>
      <patternFill patternType="solid">
        <fgColor rgb="00FBE7A6"/>
      </patternFill>
    </fill>
    <fill>
      <patternFill patternType="solid">
        <fgColor rgb="00FFF3C4"/>
      </patternFill>
    </fill>
    <fill>
      <patternFill patternType="solid">
        <fgColor rgb="00FFDCEB"/>
      </patternFill>
    </fill>
    <fill>
      <patternFill patternType="solid">
        <fgColor rgb="00FCE9F0"/>
      </patternFill>
    </fill>
    <fill>
      <patternFill patternType="solid">
        <fgColor rgb="00F4B6CC"/>
      </patternFill>
    </fill>
    <fill>
      <patternFill patternType="solid">
        <fgColor rgb="00F8EDE6"/>
      </patternFill>
    </fill>
    <fill>
      <patternFill patternType="solid">
        <fgColor rgb="00E0B84C"/>
      </patternFill>
    </fill>
  </fills>
  <borders count="16">
    <border>
      <left/>
      <right/>
      <top/>
      <bottom/>
      <diagonal/>
    </border>
    <border>
      <bottom style="thin">
        <color rgb="00F4B6CC"/>
      </bottom>
    </border>
    <border>
      <left style="thin">
        <color rgb="00E0B84C"/>
      </left>
      <right style="thin">
        <color rgb="00E0B84C"/>
      </right>
      <top style="thin">
        <color rgb="00E0B84C"/>
      </top>
      <bottom style="thin">
        <color rgb="00E0B84C"/>
      </bottom>
    </border>
    <border>
      <left style="thin">
        <color rgb="00F4B6CC"/>
      </left>
      <right style="thin">
        <color rgb="00F4B6CC"/>
      </right>
      <top style="thin">
        <color rgb="00F4B6CC"/>
      </top>
      <bottom style="thin">
        <color rgb="00F4B6CC"/>
      </bottom>
    </border>
    <border>
      <left style="thin">
        <color rgb="00E91E78"/>
      </left>
      <right style="thin">
        <color rgb="00E91E78"/>
      </right>
      <top style="thin">
        <color rgb="00E91E78"/>
      </top>
      <bottom style="thin">
        <color rgb="00E91E78"/>
      </bottom>
    </border>
    <border>
      <bottom style="hair">
        <color rgb="00F4B6CC"/>
      </bottom>
    </border>
    <border>
      <top style="thin">
        <color rgb="00E0B84C"/>
      </top>
    </border>
    <border>
      <left style="medium">
        <color rgb="00E91E78"/>
      </left>
      <right style="medium">
        <color rgb="00E91E78"/>
      </right>
      <top style="medium">
        <color rgb="00E91E78"/>
      </top>
      <bottom style="medium">
        <color rgb="00E91E78"/>
      </bottom>
    </border>
    <border>
      <left style="medium">
        <color rgb="00E0B84C"/>
      </left>
      <right style="medium">
        <color rgb="00E0B84C"/>
      </right>
      <top style="medium">
        <color rgb="00E0B84C"/>
      </top>
      <bottom style="medium">
        <color rgb="00E0B84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hair">
        <color rgb="00E0B84C"/>
      </left>
      <right style="hair">
        <color rgb="00E0B84C"/>
      </right>
      <top style="hair">
        <color rgb="00E0B84C"/>
      </top>
      <bottom style="hair">
        <color rgb="00E0B84C"/>
      </bottom>
    </border>
    <border>
      <left style="hair">
        <color rgb="00F4B6CC"/>
      </left>
      <right style="hair">
        <color rgb="00F4B6CC"/>
      </right>
      <top style="hair">
        <color rgb="00F4B6CC"/>
      </top>
      <bottom style="hair">
        <color rgb="00F4B6CC"/>
      </bottom>
    </border>
    <border>
      <left style="thick">
        <color rgb="00FFFAF7"/>
      </left>
      <right style="thick">
        <color rgb="00FFFAF7"/>
      </right>
      <top style="medium">
        <color rgb="00E0B84C"/>
      </top>
    </border>
    <border>
      <left style="thick">
        <color rgb="00FFFAF7"/>
      </left>
      <right style="thick">
        <color rgb="00FFFAF7"/>
      </right>
    </border>
    <border>
      <left style="thick">
        <color rgb="00FFFAF7"/>
      </left>
      <right style="thick">
        <color rgb="00FFFAF7"/>
      </right>
      <bottom style="thin">
        <color rgb="00F4B6CC"/>
      </bottom>
    </border>
    <border>
      <left style="thick">
        <color rgb="00E0B84C"/>
      </left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8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0" fillId="5" borderId="0" pivotButton="0" quotePrefix="0" xfId="0"/>
    <xf numFmtId="0" fontId="7" fillId="6" borderId="1" applyAlignment="1" pivotButton="0" quotePrefix="0" xfId="0">
      <alignment horizontal="left" vertical="top" wrapText="1" indent="1"/>
    </xf>
    <xf numFmtId="0" fontId="0" fillId="6" borderId="1" pivotButton="0" quotePrefix="0" xfId="0"/>
    <xf numFmtId="0" fontId="9" fillId="2" borderId="0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10" fillId="2" borderId="0" applyAlignment="1" pivotButton="0" quotePrefix="0" xfId="0">
      <alignment horizontal="left" vertical="center" indent="1"/>
    </xf>
    <xf numFmtId="0" fontId="11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12" fillId="9" borderId="4" applyAlignment="1" pivotButton="0" quotePrefix="0" xfId="0">
      <alignment horizontal="center" vertical="center"/>
    </xf>
    <xf numFmtId="0" fontId="0" fillId="9" borderId="4" pivotButton="0" quotePrefix="0" xfId="0"/>
    <xf numFmtId="0" fontId="10" fillId="2" borderId="5" applyAlignment="1" pivotButton="0" quotePrefix="0" xfId="0">
      <alignment horizontal="left" vertical="center" wrapText="1"/>
    </xf>
    <xf numFmtId="0" fontId="0" fillId="2" borderId="5" pivotButton="0" quotePrefix="0" xfId="0"/>
    <xf numFmtId="0" fontId="13" fillId="2" borderId="6" applyAlignment="1" pivotButton="0" quotePrefix="0" xfId="0">
      <alignment horizontal="center" vertical="center"/>
    </xf>
    <xf numFmtId="0" fontId="0" fillId="2" borderId="6" pivotButton="0" quotePrefix="0" xfId="0"/>
    <xf numFmtId="0" fontId="14" fillId="3" borderId="0" applyAlignment="1" pivotButton="0" quotePrefix="0" xfId="0">
      <alignment horizontal="left" vertical="center" indent="7"/>
    </xf>
    <xf numFmtId="0" fontId="15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17" fillId="6" borderId="5" applyAlignment="1" pivotButton="0" quotePrefix="0" xfId="0">
      <alignment horizontal="left" vertical="center" indent="1"/>
    </xf>
    <xf numFmtId="164" fontId="16" fillId="8" borderId="2" applyAlignment="1" pivotButton="0" quotePrefix="0" xfId="0">
      <alignment horizontal="right" vertical="center" indent="1"/>
    </xf>
    <xf numFmtId="0" fontId="18" fillId="2" borderId="0" applyAlignment="1" pivotButton="0" quotePrefix="0" xfId="0">
      <alignment horizontal="left" vertical="center" indent="1"/>
    </xf>
    <xf numFmtId="0" fontId="19" fillId="12" borderId="5" applyAlignment="1" pivotButton="0" quotePrefix="0" xfId="0">
      <alignment horizontal="left" vertical="center" indent="1"/>
    </xf>
    <xf numFmtId="164" fontId="16" fillId="12" borderId="5" applyAlignment="1" pivotButton="0" quotePrefix="0" xfId="0">
      <alignment horizontal="right" vertical="center" indent="1"/>
    </xf>
    <xf numFmtId="165" fontId="16" fillId="8" borderId="2" applyAlignment="1" pivotButton="0" quotePrefix="0" xfId="0">
      <alignment horizontal="right" vertical="center" indent="1"/>
    </xf>
    <xf numFmtId="1" fontId="16" fillId="8" borderId="2" applyAlignment="1" pivotButton="0" quotePrefix="0" xfId="0">
      <alignment horizontal="right" vertical="center" indent="1"/>
    </xf>
    <xf numFmtId="166" fontId="16" fillId="8" borderId="2" applyAlignment="1" pivotButton="0" quotePrefix="0" xfId="0">
      <alignment horizontal="right" vertical="center" indent="1"/>
    </xf>
    <xf numFmtId="2" fontId="20" fillId="6" borderId="5" applyAlignment="1" pivotButton="0" quotePrefix="0" xfId="0">
      <alignment horizontal="right" vertical="center" indent="1"/>
    </xf>
    <xf numFmtId="165" fontId="20" fillId="6" borderId="5" applyAlignment="1" pivotButton="0" quotePrefix="0" xfId="0">
      <alignment horizontal="right" vertical="center" indent="1"/>
    </xf>
    <xf numFmtId="0" fontId="6" fillId="9" borderId="7" applyAlignment="1" pivotButton="0" quotePrefix="0" xfId="0">
      <alignment horizontal="left" vertical="center" indent="1"/>
    </xf>
    <xf numFmtId="164" fontId="21" fillId="9" borderId="7" applyAlignment="1" pivotButton="0" quotePrefix="0" xfId="0">
      <alignment horizontal="right" vertical="center" indent="1"/>
    </xf>
    <xf numFmtId="0" fontId="22" fillId="7" borderId="8" applyAlignment="1" pivotButton="0" quotePrefix="0" xfId="0">
      <alignment horizontal="center" vertical="center"/>
    </xf>
    <xf numFmtId="0" fontId="0" fillId="7" borderId="8" pivotButton="0" quotePrefix="0" xfId="0"/>
    <xf numFmtId="0" fontId="23" fillId="3" borderId="9" applyAlignment="1" pivotButton="0" quotePrefix="0" xfId="0">
      <alignment horizontal="center" vertical="center" wrapText="1"/>
    </xf>
    <xf numFmtId="0" fontId="8" fillId="13" borderId="9" applyAlignment="1" pivotButton="0" quotePrefix="0" xfId="0">
      <alignment horizontal="center" vertical="center" wrapText="1"/>
    </xf>
    <xf numFmtId="0" fontId="8" fillId="11" borderId="9" applyAlignment="1" pivotButton="0" quotePrefix="0" xfId="0">
      <alignment horizontal="center" vertical="center" wrapText="1"/>
    </xf>
    <xf numFmtId="0" fontId="17" fillId="8" borderId="10" applyAlignment="1" pivotButton="0" quotePrefix="0" xfId="0">
      <alignment horizontal="left" vertical="center" indent="1"/>
    </xf>
    <xf numFmtId="1" fontId="17" fillId="8" borderId="10" applyAlignment="1" pivotButton="0" quotePrefix="0" xfId="0">
      <alignment horizontal="right" vertical="center" indent="1"/>
    </xf>
    <xf numFmtId="164" fontId="17" fillId="8" borderId="10" applyAlignment="1" pivotButton="0" quotePrefix="0" xfId="0">
      <alignment horizontal="right" vertical="center" indent="1"/>
    </xf>
    <xf numFmtId="164" fontId="24" fillId="9" borderId="11" applyAlignment="1" pivotButton="0" quotePrefix="0" xfId="0">
      <alignment horizontal="right" vertical="center" indent="1"/>
    </xf>
    <xf numFmtId="0" fontId="17" fillId="6" borderId="11" applyAlignment="1" pivotButton="0" quotePrefix="0" xfId="0">
      <alignment horizontal="left" vertical="center" indent="1"/>
    </xf>
    <xf numFmtId="164" fontId="17" fillId="6" borderId="11" applyAlignment="1" pivotButton="0" quotePrefix="0" xfId="0">
      <alignment horizontal="right" vertical="center" indent="1"/>
    </xf>
    <xf numFmtId="167" fontId="17" fillId="6" borderId="11" applyAlignment="1" pivotButton="0" quotePrefix="0" xfId="0">
      <alignment horizontal="right" vertical="center" indent="1"/>
    </xf>
    <xf numFmtId="0" fontId="18" fillId="2" borderId="0" applyAlignment="1" pivotButton="0" quotePrefix="0" xfId="0">
      <alignment horizontal="left" vertical="center"/>
    </xf>
    <xf numFmtId="0" fontId="25" fillId="6" borderId="12" applyAlignment="1" pivotButton="0" quotePrefix="0" xfId="0">
      <alignment horizontal="center" vertical="bottom"/>
    </xf>
    <xf numFmtId="0" fontId="0" fillId="6" borderId="12" pivotButton="0" quotePrefix="0" xfId="0"/>
    <xf numFmtId="164" fontId="26" fillId="6" borderId="13" applyAlignment="1" pivotButton="0" quotePrefix="0" xfId="0">
      <alignment horizontal="center" vertical="center"/>
    </xf>
    <xf numFmtId="0" fontId="0" fillId="6" borderId="13" pivotButton="0" quotePrefix="0" xfId="0"/>
    <xf numFmtId="1" fontId="26" fillId="6" borderId="13" applyAlignment="1" pivotButton="0" quotePrefix="0" xfId="0">
      <alignment horizontal="center" vertical="center"/>
    </xf>
    <xf numFmtId="1" fontId="27" fillId="6" borderId="13" applyAlignment="1" pivotButton="0" quotePrefix="0" xfId="0">
      <alignment horizontal="center" vertical="center"/>
    </xf>
    <xf numFmtId="0" fontId="18" fillId="6" borderId="14" applyAlignment="1" pivotButton="0" quotePrefix="0" xfId="0">
      <alignment horizontal="center" vertical="top"/>
    </xf>
    <xf numFmtId="0" fontId="0" fillId="6" borderId="14" pivotButton="0" quotePrefix="0" xfId="0"/>
    <xf numFmtId="1" fontId="28" fillId="6" borderId="13" applyAlignment="1" pivotButton="0" quotePrefix="0" xfId="0">
      <alignment horizontal="center" vertical="center" shrinkToFit="1"/>
    </xf>
    <xf numFmtId="167" fontId="29" fillId="6" borderId="13" applyAlignment="1" pivotButton="0" quotePrefix="0" xfId="0">
      <alignment horizontal="center" vertical="center" shrinkToFit="1"/>
    </xf>
    <xf numFmtId="49" fontId="30" fillId="6" borderId="13" applyAlignment="1" pivotButton="0" quotePrefix="0" xfId="0">
      <alignment horizontal="center" vertical="center" shrinkToFit="1"/>
    </xf>
    <xf numFmtId="49" fontId="31" fillId="6" borderId="13" applyAlignment="1" pivotButton="0" quotePrefix="0" xfId="0">
      <alignment horizontal="center" vertical="center" shrinkToFit="1"/>
    </xf>
    <xf numFmtId="0" fontId="1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5" fillId="3" borderId="0" applyAlignment="1" pivotButton="0" quotePrefix="0" xfId="0">
      <alignment horizontal="center" vertical="center"/>
    </xf>
    <xf numFmtId="0" fontId="32" fillId="8" borderId="2" applyAlignment="1" pivotButton="0" quotePrefix="0" xfId="0">
      <alignment horizontal="center" vertical="center"/>
    </xf>
    <xf numFmtId="0" fontId="8" fillId="11" borderId="0" applyAlignment="1" pivotButton="0" quotePrefix="0" xfId="0">
      <alignment horizontal="left" vertical="center" indent="1"/>
    </xf>
    <xf numFmtId="0" fontId="8" fillId="11" borderId="0" applyAlignment="1" pivotButton="0" quotePrefix="0" xfId="0">
      <alignment horizontal="right" vertical="center" indent="1"/>
    </xf>
    <xf numFmtId="0" fontId="20" fillId="2" borderId="0" applyAlignment="1" pivotButton="0" quotePrefix="0" xfId="0">
      <alignment horizontal="left" vertical="center" indent="1"/>
    </xf>
    <xf numFmtId="164" fontId="33" fillId="2" borderId="0" applyAlignment="1" pivotButton="0" quotePrefix="0" xfId="0">
      <alignment horizontal="right" vertical="center" indent="1"/>
    </xf>
    <xf numFmtId="0" fontId="3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Arial"/>
        <b val="1"/>
        <color rgb="001B6B3A"/>
      </font>
      <fill>
        <patternFill patternType="solid">
          <fgColor rgb="00E3F4E7"/>
        </patternFill>
      </fill>
    </dxf>
    <dxf>
      <font>
        <name val="Arial"/>
        <b val="1"/>
        <color rgb="008A5A00"/>
      </font>
      <fill>
        <patternFill patternType="solid">
          <fgColor rgb="00FFF1CC"/>
        </patternFill>
      </fill>
    </dxf>
    <dxf>
      <font>
        <name val="Arial"/>
        <b val="1"/>
        <color rgb="00B00040"/>
      </font>
      <fill>
        <patternFill patternType="solid">
          <fgColor rgb="00FDE0E8"/>
        </patternFill>
      </fill>
    </dxf>
    <dxf>
      <fill>
        <patternFill patternType="solid">
          <fgColor rgb="00FFFFFF"/>
        </patternFill>
      </fill>
      <border>
        <bottom style="thin">
          <color rgb="00F4B6CC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v>Cobro hoje</v>
          </tx>
          <spPr>
            <a:solidFill xmlns:a="http://schemas.openxmlformats.org/drawingml/2006/main">
              <a:srgbClr val="E0B84C"/>
            </a:solidFill>
            <a:ln xmlns:a="http://schemas.openxmlformats.org/drawingml/2006/main">
              <a:solidFill>
                <a:srgbClr val="E0B84C"/>
              </a:solidFill>
              <a:prstDash val="solid"/>
            </a:ln>
          </spPr>
          <cat>
            <numRef>
              <f>'Meus serviços'!$A$5:$A$14</f>
            </numRef>
          </cat>
          <val>
            <numRef>
              <f>'Meus serviços'!$D$5:$D$14</f>
            </numRef>
          </val>
        </ser>
        <ser>
          <idx val="1"/>
          <order val="1"/>
          <tx>
            <v>Preço sugerido</v>
          </tx>
          <spPr>
            <a:solidFill xmlns:a="http://schemas.openxmlformats.org/drawingml/2006/main">
              <a:srgbClr val="C2185B"/>
            </a:solidFill>
            <a:ln xmlns:a="http://schemas.openxmlformats.org/drawingml/2006/main">
              <a:solidFill>
                <a:srgbClr val="C2185B"/>
              </a:solidFill>
              <a:prstDash val="solid"/>
            </a:ln>
          </spPr>
          <cat>
            <numRef>
              <f>'Meus serviços'!$A$5:$A$14</f>
            </numRef>
          </cat>
          <val>
            <numRef>
              <f>'Meus serviços'!$E$5:$E$14</f>
            </numRef>
          </val>
        </ser>
        <gapWidth val="6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F0D5DF"/>
              </a:solidFill>
              <a:prstDash val="solid"/>
            </a:ln>
          </spPr>
        </majorGridlines>
        <numFmt formatCode="R$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001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114300</colOff>
      <row>0</row>
      <rowOff>95250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114300</colOff>
      <row>0</row>
      <rowOff>95250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15</row>
      <rowOff>0</rowOff>
    </from>
    <ext cx="972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114300</colOff>
      <row>0</row>
      <rowOff>95250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A1236"/>
    <outlinePr summaryBelow="1" summaryRight="1"/>
    <pageSetUpPr fitToPage="1"/>
  </sheetPr>
  <dimension ref="A1:L34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" customWidth="1" min="12" max="12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6" customHeight="1">
      <c r="A2" s="1" t="n"/>
      <c r="B2" s="1" t="n"/>
      <c r="C2" s="1" t="n"/>
      <c r="D2" s="2" t="inlineStr">
        <is>
          <t>Kit Preço Certo</t>
        </is>
      </c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3" t="inlineStr">
        <is>
          <t>Calculadora de preço para quem vende serviços</t>
        </is>
      </c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1" t="n"/>
      <c r="B4" s="1" t="n"/>
      <c r="C4" s="1" t="n"/>
      <c r="D4" s="4" t="inlineStr">
        <is>
          <t>Fórmulas prontas: é só preencher as células amarelas. Não precisa saber Excel.</t>
        </is>
      </c>
      <c r="E4" s="1" t="n"/>
      <c r="F4" s="1" t="n"/>
      <c r="G4" s="1" t="n"/>
      <c r="H4" s="1" t="n"/>
      <c r="I4" s="1" t="n"/>
      <c r="J4" s="1" t="n"/>
      <c r="K4" s="1" t="n"/>
      <c r="L4" s="1" t="n"/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5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12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6" t="n"/>
      <c r="B8" s="7" t="inlineStr">
        <is>
          <t>Comece em 3 passos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4" customHeight="1">
      <c r="A10" s="6" t="n"/>
      <c r="B10" s="8" t="inlineStr">
        <is>
          <t>1</t>
        </is>
      </c>
      <c r="C10" s="9" t="inlineStr">
        <is>
          <t>Descubra o custo da sua hora</t>
        </is>
      </c>
      <c r="D10" s="10" t="n"/>
      <c r="E10" s="10" t="n"/>
      <c r="F10" s="10" t="n"/>
      <c r="G10" s="10" t="n"/>
      <c r="H10" s="10" t="n"/>
      <c r="I10" s="10" t="n"/>
      <c r="J10" s="11" t="inlineStr">
        <is>
          <t>Abrir aba  →</t>
        </is>
      </c>
      <c r="K10" s="12" t="n"/>
      <c r="L10" s="6" t="n"/>
    </row>
    <row r="11" ht="42" customHeight="1">
      <c r="A11" s="6" t="n"/>
      <c r="B11" s="13" t="n"/>
      <c r="C11" s="14" t="inlineStr">
        <is>
          <t>Aba “Meu custo por hora”: preencha as células amarelas com seus gastos do mês, o quanto quer tirar para você e suas horas de trabalho.</t>
        </is>
      </c>
      <c r="D11" s="15" t="n"/>
      <c r="E11" s="15" t="n"/>
      <c r="F11" s="15" t="n"/>
      <c r="G11" s="15" t="n"/>
      <c r="H11" s="15" t="n"/>
      <c r="I11" s="15" t="n"/>
      <c r="J11" s="12" t="n"/>
      <c r="K11" s="12" t="n"/>
      <c r="L11" s="6" t="n"/>
    </row>
    <row r="12" ht="1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4" customHeight="1">
      <c r="A13" s="6" t="n"/>
      <c r="B13" s="8" t="inlineStr">
        <is>
          <t>2</t>
        </is>
      </c>
      <c r="C13" s="9" t="inlineStr">
        <is>
          <t>Cadastre seus serviços</t>
        </is>
      </c>
      <c r="D13" s="10" t="n"/>
      <c r="E13" s="10" t="n"/>
      <c r="F13" s="10" t="n"/>
      <c r="G13" s="10" t="n"/>
      <c r="H13" s="10" t="n"/>
      <c r="I13" s="10" t="n"/>
      <c r="J13" s="11" t="inlineStr">
        <is>
          <t>Abrir aba  →</t>
        </is>
      </c>
      <c r="K13" s="12" t="n"/>
      <c r="L13" s="6" t="n"/>
    </row>
    <row r="14" ht="42" customHeight="1">
      <c r="A14" s="6" t="n"/>
      <c r="B14" s="13" t="n"/>
      <c r="C14" s="14" t="inlineStr">
        <is>
          <t>Aba “Meus serviços”: escreva o serviço, o tempo, o material gasto e o preço que você cobra hoje.</t>
        </is>
      </c>
      <c r="D14" s="15" t="n"/>
      <c r="E14" s="15" t="n"/>
      <c r="F14" s="15" t="n"/>
      <c r="G14" s="15" t="n"/>
      <c r="H14" s="15" t="n"/>
      <c r="I14" s="15" t="n"/>
      <c r="J14" s="12" t="n"/>
      <c r="K14" s="12" t="n"/>
      <c r="L14" s="6" t="n"/>
    </row>
    <row r="15" ht="1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4" customHeight="1">
      <c r="A16" s="6" t="n"/>
      <c r="B16" s="8" t="inlineStr">
        <is>
          <t>3</t>
        </is>
      </c>
      <c r="C16" s="9" t="inlineStr">
        <is>
          <t>Veja o preço certo de cada um</t>
        </is>
      </c>
      <c r="D16" s="10" t="n"/>
      <c r="E16" s="10" t="n"/>
      <c r="F16" s="10" t="n"/>
      <c r="G16" s="10" t="n"/>
      <c r="H16" s="10" t="n"/>
      <c r="I16" s="10" t="n"/>
      <c r="J16" s="11" t="inlineStr">
        <is>
          <t>Ver painel  →</t>
        </is>
      </c>
      <c r="K16" s="12" t="n"/>
      <c r="L16" s="6" t="n"/>
    </row>
    <row r="17" ht="42" customHeight="1">
      <c r="A17" s="6" t="n"/>
      <c r="B17" s="13" t="n"/>
      <c r="C17" s="14" t="inlineStr">
        <is>
          <t>Você recebe o preço sugerido, o lucro de hoje e um aviso quando um serviço está dando prejuízo. Veja o resumo no “Meu Painel” e copie a “Tabela para divulgar”.</t>
        </is>
      </c>
      <c r="D17" s="15" t="n"/>
      <c r="E17" s="15" t="n"/>
      <c r="F17" s="15" t="n"/>
      <c r="G17" s="15" t="n"/>
      <c r="H17" s="15" t="n"/>
      <c r="I17" s="15" t="n"/>
      <c r="J17" s="12" t="n"/>
      <c r="K17" s="12" t="n"/>
      <c r="L17" s="6" t="n"/>
    </row>
    <row r="18" ht="1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28" customHeight="1">
      <c r="A19" s="6" t="n"/>
      <c r="B19" s="16" t="inlineStr">
        <is>
          <t>Como ler as cores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2" customHeight="1">
      <c r="A20" s="6" t="n"/>
      <c r="B20" s="17" t="inlineStr">
        <is>
          <t>Você preenche</t>
        </is>
      </c>
      <c r="C20" s="18" t="n"/>
      <c r="D20" s="18" t="n"/>
      <c r="E20" s="19" t="inlineStr">
        <is>
          <t>Células amarelas: são as únicas que você edita.</t>
        </is>
      </c>
      <c r="F20" s="6" t="n"/>
      <c r="G20" s="6" t="n"/>
      <c r="H20" s="6" t="n"/>
      <c r="I20" s="6" t="n"/>
      <c r="J20" s="6" t="n"/>
      <c r="K20" s="6" t="n"/>
      <c r="L20" s="6" t="n"/>
    </row>
    <row r="21" ht="22" customHeight="1">
      <c r="A21" s="6" t="n"/>
      <c r="B21" s="20" t="inlineStr">
        <is>
          <t>Calculado</t>
        </is>
      </c>
      <c r="C21" s="21" t="n"/>
      <c r="D21" s="21" t="n"/>
      <c r="E21" s="19" t="inlineStr">
        <is>
          <t>Fórmulas automáticas. Não precisa mexer.</t>
        </is>
      </c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6" t="n"/>
      <c r="B22" s="22" t="inlineStr">
        <is>
          <t>Resultado</t>
        </is>
      </c>
      <c r="C22" s="23" t="n"/>
      <c r="D22" s="23" t="n"/>
      <c r="E22" s="19" t="inlineStr">
        <is>
          <t>Preço sugerido e resultados principais, calculados sozinhos.</t>
        </is>
      </c>
      <c r="F22" s="6" t="n"/>
      <c r="G22" s="6" t="n"/>
      <c r="H22" s="6" t="n"/>
      <c r="I22" s="6" t="n"/>
      <c r="J22" s="6" t="n"/>
      <c r="K22" s="6" t="n"/>
      <c r="L22" s="6" t="n"/>
    </row>
    <row r="23" ht="1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28" customHeight="1">
      <c r="A24" s="6" t="n"/>
      <c r="B24" s="16" t="inlineStr">
        <is>
          <t>Importante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30" customHeight="1">
      <c r="A25" s="6" t="n"/>
      <c r="B25" s="24" t="inlineStr">
        <is>
          <t>✦  Os números que já estão preenchidos são EXEMPLOS ilustrativos, para você ver a conta funcionando. Troque pelos seus.</t>
        </is>
      </c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6" t="n"/>
    </row>
    <row r="26" ht="30" customHeight="1">
      <c r="A26" s="6" t="n"/>
      <c r="B26" s="24" t="inlineStr">
        <is>
          <t>✦  A calculadora mostra a conta do preço. Ela não promete ganho nem resultado: o resultado depende dos seus custos e da sua demanda.</t>
        </is>
      </c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6" t="n"/>
    </row>
    <row r="27" ht="30" customHeight="1">
      <c r="A27" s="6" t="n"/>
      <c r="B27" s="24" t="inlineStr">
        <is>
          <t>✦  Impostos: se você é MEI, coloque o valor do DAS mensal nos gastos fixos. Confirme o valor atual no portal oficial do MEI.</t>
        </is>
      </c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6" t="n"/>
    </row>
    <row r="28" ht="30" customHeight="1">
      <c r="A28" s="6" t="n"/>
      <c r="B28" s="24" t="inlineStr">
        <is>
          <t>✦  Ferramenta de apoio. Não substitui a orientação de um contador.</t>
        </is>
      </c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26" customHeight="1">
      <c r="A31" s="6" t="n"/>
      <c r="B31" s="26" t="inlineStr">
        <is>
          <t>Kit Preço Certo  ·  kitprecocerto.com.br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</sheetData>
  <mergeCells count="30">
    <mergeCell ref="C17:I17"/>
    <mergeCell ref="J16:K17"/>
    <mergeCell ref="B24:K24"/>
    <mergeCell ref="E22:K22"/>
    <mergeCell ref="C13:I13"/>
    <mergeCell ref="B13:B14"/>
    <mergeCell ref="B26:K26"/>
    <mergeCell ref="E21:K21"/>
    <mergeCell ref="D2:K2"/>
    <mergeCell ref="B25:K25"/>
    <mergeCell ref="B10:B11"/>
    <mergeCell ref="B20:D20"/>
    <mergeCell ref="C14:I14"/>
    <mergeCell ref="B31:K31"/>
    <mergeCell ref="B27:K27"/>
    <mergeCell ref="J10:K11"/>
    <mergeCell ref="E20:K20"/>
    <mergeCell ref="C10:I10"/>
    <mergeCell ref="C16:I16"/>
    <mergeCell ref="J13:K14"/>
    <mergeCell ref="D4:K4"/>
    <mergeCell ref="D3:K3"/>
    <mergeCell ref="B8:K8"/>
    <mergeCell ref="B22:D22"/>
    <mergeCell ref="A6:L6"/>
    <mergeCell ref="B16:B17"/>
    <mergeCell ref="B21:D21"/>
    <mergeCell ref="C11:I11"/>
    <mergeCell ref="B28:K28"/>
    <mergeCell ref="B19:K19"/>
  </mergeCells>
  <hyperlinks>
    <hyperlink ref="J10" location="'Meu custo por hora'!A1" display="Abrir aba  →"/>
    <hyperlink ref="J13" location="'Meus serviços'!A1" display="Abrir aba  →"/>
    <hyperlink ref="J16" location="'Meu Painel'!A1" display="Ver painel  →"/>
  </hyperlink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91E78"/>
    <outlinePr summaryBelow="1" summaryRight="1"/>
    <pageSetUpPr fitToPage="1"/>
  </sheetPr>
  <dimension ref="A1:D33"/>
  <sheetViews>
    <sheetView showGridLines="0" showRowColHeader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50" customWidth="1" min="3" max="3"/>
    <col width="3" customWidth="1" min="4" max="4"/>
  </cols>
  <sheetData>
    <row r="1" ht="52" customHeight="1">
      <c r="A1" s="28" t="inlineStr">
        <is>
          <t>Passo 1  ·  Quanto custa a sua hora</t>
        </is>
      </c>
      <c r="B1" s="1" t="n"/>
      <c r="C1" s="1" t="n"/>
      <c r="D1" s="1" t="n"/>
    </row>
    <row r="2" ht="24" customHeight="1">
      <c r="A2" s="29" t="inlineStr">
        <is>
          <t>Preencha só as células amarelas. As contas já estão prontas. Os valores preenchidos são exemplos: troque pelos seus.</t>
        </is>
      </c>
      <c r="B2" s="30" t="n"/>
      <c r="C2" s="30" t="n"/>
      <c r="D2" s="30" t="n"/>
    </row>
    <row r="3" ht="4" customHeight="1">
      <c r="A3" s="5" t="n"/>
      <c r="B3" s="5" t="n"/>
      <c r="C3" s="5" t="n"/>
      <c r="D3" s="5" t="n"/>
    </row>
    <row r="4" ht="24" customHeight="1">
      <c r="A4" s="31" t="inlineStr">
        <is>
          <t>Gastos fixos do mês (R$)</t>
        </is>
      </c>
      <c r="B4" s="32" t="n"/>
      <c r="C4" s="32" t="n"/>
      <c r="D4" s="6" t="n"/>
    </row>
    <row r="5" ht="22" customHeight="1">
      <c r="A5" s="33" t="inlineStr">
        <is>
          <t>Aluguel / cadeira / espaço</t>
        </is>
      </c>
      <c r="B5" s="34" t="n">
        <v>900</v>
      </c>
      <c r="C5" s="35" t="inlineStr">
        <is>
          <t>Se atende em casa, ponha 0 ou uma parte do aluguel</t>
        </is>
      </c>
      <c r="D5" s="6" t="n"/>
    </row>
    <row r="6" ht="22" customHeight="1">
      <c r="A6" s="33" t="inlineStr">
        <is>
          <t>Luz, água, internet</t>
        </is>
      </c>
      <c r="B6" s="34" t="n">
        <v>200</v>
      </c>
      <c r="C6" s="35" t="inlineStr"/>
      <c r="D6" s="6" t="n"/>
    </row>
    <row r="7" ht="22" customHeight="1">
      <c r="A7" s="33" t="inlineStr">
        <is>
          <t>Imposto (ex.: DAS do MEI)</t>
        </is>
      </c>
      <c r="B7" s="34" t="n">
        <v>80</v>
      </c>
      <c r="C7" s="35" t="inlineStr">
        <is>
          <t>Exemplo. Confira o valor atual no portal do MEI</t>
        </is>
      </c>
      <c r="D7" s="6" t="n"/>
    </row>
    <row r="8" ht="22" customHeight="1">
      <c r="A8" s="33" t="inlineStr">
        <is>
          <t>Telefone / aplicativos / agenda</t>
        </is>
      </c>
      <c r="B8" s="34" t="n">
        <v>80</v>
      </c>
      <c r="C8" s="35" t="inlineStr"/>
      <c r="D8" s="6" t="n"/>
    </row>
    <row r="9" ht="22" customHeight="1">
      <c r="A9" s="33" t="inlineStr">
        <is>
          <t>Divulgação (anúncios, cartões, etc.)</t>
        </is>
      </c>
      <c r="B9" s="34" t="n">
        <v>100</v>
      </c>
      <c r="C9" s="35" t="inlineStr"/>
      <c r="D9" s="6" t="n"/>
    </row>
    <row r="10" ht="22" customHeight="1">
      <c r="A10" s="33" t="inlineStr">
        <is>
          <t>Reposição de equipamentos (lixa, alicate)</t>
        </is>
      </c>
      <c r="B10" s="34" t="n">
        <v>120</v>
      </c>
      <c r="C10" s="35" t="inlineStr">
        <is>
          <t>Média mensal</t>
        </is>
      </c>
      <c r="D10" s="6" t="n"/>
    </row>
    <row r="11" ht="22" customHeight="1">
      <c r="A11" s="33" t="inlineStr">
        <is>
          <t>Outros gastos fixos</t>
        </is>
      </c>
      <c r="B11" s="34" t="n">
        <v>0</v>
      </c>
      <c r="C11" s="35" t="inlineStr"/>
      <c r="D11" s="6" t="n"/>
    </row>
    <row r="12" ht="22" customHeight="1">
      <c r="A12" s="36" t="inlineStr">
        <is>
          <t>Total de gastos fixos</t>
        </is>
      </c>
      <c r="B12" s="37">
        <f>SUM(B5:B11)</f>
        <v/>
      </c>
      <c r="C12" s="6" t="n"/>
      <c r="D12" s="6" t="n"/>
    </row>
    <row r="13" ht="8" customHeight="1">
      <c r="A13" s="6" t="n"/>
      <c r="B13" s="6" t="n"/>
      <c r="C13" s="6" t="n"/>
      <c r="D13" s="6" t="n"/>
    </row>
    <row r="14" ht="24" customHeight="1">
      <c r="A14" s="31" t="inlineStr">
        <is>
          <t>O quanto você quer tirar para você</t>
        </is>
      </c>
      <c r="B14" s="32" t="n"/>
      <c r="C14" s="32" t="n"/>
      <c r="D14" s="6" t="n"/>
    </row>
    <row r="15" ht="22" customHeight="1">
      <c r="A15" s="33" t="inlineStr">
        <is>
          <t>Retirada mensal desejada (seu salário)</t>
        </is>
      </c>
      <c r="B15" s="34" t="n">
        <v>5000</v>
      </c>
      <c r="C15" s="35" t="inlineStr">
        <is>
          <t>É o que você quer ganhar por mês, além dos gastos</t>
        </is>
      </c>
      <c r="D15" s="6" t="n"/>
    </row>
    <row r="16" ht="8" customHeight="1">
      <c r="A16" s="6" t="n"/>
      <c r="B16" s="6" t="n"/>
      <c r="C16" s="6" t="n"/>
      <c r="D16" s="6" t="n"/>
    </row>
    <row r="17" ht="24" customHeight="1">
      <c r="A17" s="31" t="inlineStr">
        <is>
          <t>Seu tempo de trabalho</t>
        </is>
      </c>
      <c r="B17" s="32" t="n"/>
      <c r="C17" s="32" t="n"/>
      <c r="D17" s="6" t="n"/>
    </row>
    <row r="18" ht="22" customHeight="1">
      <c r="A18" s="33" t="inlineStr">
        <is>
          <t>Horas de atendimento por dia</t>
        </is>
      </c>
      <c r="B18" s="38" t="n">
        <v>6</v>
      </c>
      <c r="C18" s="35" t="inlineStr">
        <is>
          <t>Horas em que está no local, disponível</t>
        </is>
      </c>
      <c r="D18" s="6" t="n"/>
    </row>
    <row r="19" ht="22" customHeight="1">
      <c r="A19" s="33" t="inlineStr">
        <is>
          <t>Dias trabalhados por semana</t>
        </is>
      </c>
      <c r="B19" s="39" t="n">
        <v>5</v>
      </c>
      <c r="C19" s="35" t="inlineStr"/>
      <c r="D19" s="6" t="n"/>
    </row>
    <row r="20" ht="22" customHeight="1">
      <c r="A20" s="33" t="inlineStr">
        <is>
          <t>Taxa de ocupação da agenda (%)</t>
        </is>
      </c>
      <c r="B20" s="40" t="n">
        <v>0.65</v>
      </c>
      <c r="C20" s="35" t="inlineStr">
        <is>
          <t>Parte das horas em que há cliente. Seja realista (50–80%)</t>
        </is>
      </c>
      <c r="D20" s="6" t="n"/>
    </row>
    <row r="21" ht="8" customHeight="1">
      <c r="A21" s="6" t="n"/>
      <c r="B21" s="6" t="n"/>
      <c r="C21" s="6" t="n"/>
      <c r="D21" s="6" t="n"/>
    </row>
    <row r="22" ht="24" customHeight="1">
      <c r="A22" s="31" t="inlineStr">
        <is>
          <t>Resultado</t>
        </is>
      </c>
      <c r="B22" s="32" t="n"/>
      <c r="C22" s="32" t="n"/>
      <c r="D22" s="6" t="n"/>
    </row>
    <row r="23" ht="22" customHeight="1">
      <c r="A23" s="33" t="inlineStr">
        <is>
          <t>Semanas por mês (média)</t>
        </is>
      </c>
      <c r="B23" s="41" t="n">
        <v>4.33</v>
      </c>
      <c r="C23" s="35" t="inlineStr">
        <is>
          <t>Valor fixo: 52 semanas ÷ 12 meses</t>
        </is>
      </c>
      <c r="D23" s="6" t="n"/>
    </row>
    <row r="24" ht="22" customHeight="1">
      <c r="A24" s="33" t="inlineStr">
        <is>
          <t>Horas vendáveis por mês</t>
        </is>
      </c>
      <c r="B24" s="42">
        <f>B18*B19*B23*B20</f>
        <v/>
      </c>
      <c r="C24" s="6" t="n"/>
      <c r="D24" s="6" t="n"/>
    </row>
    <row r="25" ht="40" customHeight="1">
      <c r="A25" s="43" t="inlineStr">
        <is>
          <t>CUSTO DA SUA HORA (gastos + retirada)</t>
        </is>
      </c>
      <c r="B25" s="44">
        <f>IFERROR((B12+B15)/B24,0)</f>
        <v/>
      </c>
      <c r="C25" s="35" t="inlineStr">
        <is>
          <t>Esse valor entra sozinho na aba “Meus serviços”</t>
        </is>
      </c>
      <c r="D25" s="6" t="n"/>
    </row>
    <row r="26" ht="8" customHeight="1">
      <c r="A26" s="6" t="n"/>
      <c r="B26" s="6" t="n"/>
      <c r="C26" s="6" t="n"/>
      <c r="D26" s="6" t="n"/>
    </row>
    <row r="27" ht="24" customHeight="1">
      <c r="A27" s="31" t="inlineStr">
        <is>
          <t>Taxas e margem (valem para todos os serviços)</t>
        </is>
      </c>
      <c r="B27" s="32" t="n"/>
      <c r="C27" s="32" t="n"/>
      <c r="D27" s="6" t="n"/>
    </row>
    <row r="28" ht="22" customHeight="1">
      <c r="A28" s="33" t="inlineStr">
        <is>
          <t>Taxa da maquininha/cartão (%)</t>
        </is>
      </c>
      <c r="B28" s="40" t="n">
        <v>0.04</v>
      </c>
      <c r="C28" s="35" t="inlineStr">
        <is>
          <t>Veja a taxa da sua maquininha</t>
        </is>
      </c>
      <c r="D28" s="6" t="n"/>
    </row>
    <row r="29" ht="22" customHeight="1">
      <c r="A29" s="33" t="inlineStr">
        <is>
          <t>Margem de segurança / reserva (%)</t>
        </is>
      </c>
      <c r="B29" s="40" t="n">
        <v>0.1</v>
      </c>
      <c r="C29" s="35" t="inlineStr">
        <is>
          <t>Sobra extra no preço, para imprevistos. Pode deixar 0%</t>
        </is>
      </c>
      <c r="D29" s="6" t="n"/>
    </row>
    <row r="30">
      <c r="A30" s="6" t="n"/>
      <c r="B30" s="6" t="n"/>
      <c r="C30" s="6" t="n"/>
      <c r="D30" s="6" t="n"/>
    </row>
    <row r="31" ht="36" customHeight="1">
      <c r="A31" s="45" t="inlineStr">
        <is>
          <t>Pronto! Próximo passo: cadastrar seus serviços  →</t>
        </is>
      </c>
      <c r="B31" s="46" t="n"/>
      <c r="C31" s="4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</sheetData>
  <mergeCells count="9">
    <mergeCell ref="A1:C1"/>
    <mergeCell ref="A14:C14"/>
    <mergeCell ref="A3:D3"/>
    <mergeCell ref="A31:C31"/>
    <mergeCell ref="A22:C22"/>
    <mergeCell ref="A17:C17"/>
    <mergeCell ref="A27:C27"/>
    <mergeCell ref="A2:D2"/>
    <mergeCell ref="A4:C4"/>
  </mergeCells>
  <dataValidations count="7">
    <dataValidation sqref="B18" showDropDown="0" showInputMessage="0" showErrorMessage="1" allowBlank="0" errorTitle="Valor fora do esperado" error="Digite um valor entre 0.5 e 24 (porcentagem: ex. 65%)." type="decimal" operator="between">
      <formula1>0.5</formula1>
      <formula2>24</formula2>
    </dataValidation>
    <dataValidation sqref="B19" showDropDown="0" showInputMessage="0" showErrorMessage="1" allowBlank="0" errorTitle="Valor fora do esperado" error="Digite um valor entre 1 e 7 (porcentagem: ex. 65%)." type="whole" operator="between">
      <formula1>1</formula1>
      <formula2>7</formula2>
    </dataValidation>
    <dataValidation sqref="B20" showDropDown="0" showInputMessage="0" showErrorMessage="1" allowBlank="0" errorTitle="Valor fora do esperado" error="Digite um valor entre 0.05 e 1 (porcentagem: ex. 65%)." type="decimal" operator="between">
      <formula1>0.05</formula1>
      <formula2>1</formula2>
    </dataValidation>
    <dataValidation sqref="B28" showDropDown="0" showInputMessage="0" showErrorMessage="1" allowBlank="0" errorTitle="Valor fora do esperado" error="Digite um valor entre 0 e 0.3 (porcentagem: ex. 65%)." type="decimal" operator="between">
      <formula1>0</formula1>
      <formula2>0.3</formula2>
    </dataValidation>
    <dataValidation sqref="B29" showDropDown="0" showInputMessage="0" showErrorMessage="1" allowBlank="0" errorTitle="Valor fora do esperado" error="Digite um valor entre 0 e 0.5 (porcentagem: ex. 65%)." type="decimal" operator="between">
      <formula1>0</formula1>
      <formula2>0.5</formula2>
    </dataValidation>
    <dataValidation sqref="B5:B11" showDropDown="0" showInputMessage="1" showErrorMessage="1" allowBlank="1" errorTitle="Valor em reais" error="Digite um valor em reais (ex.: 150)." promptTitle="Gasto do mês" prompt="Digite quanto você gasta por mês com isso, em reais. Se não tem esse gasto, ponha 0." type="decimal" operator="greaterThanOrEqual">
      <formula1>0</formula1>
    </dataValidation>
    <dataValidation sqref="B15" showDropDown="0" showInputMessage="1" showErrorMessage="1" allowBlank="1" errorTitle="Valor em reais" error="Digite um valor em reais (ex.: 3000)." promptTitle="Seu salário" prompt="Quanto você quer tirar para você por mês, além dos gastos." type="decimal" operator="greaterThanOrEqual">
      <formula1>0</formula1>
    </dataValidation>
  </dataValidations>
  <hyperlinks>
    <hyperlink ref="A31" location="'Meus serviços'!A1" display="Pronto! Próximo passo: cadastrar seus serviços  →"/>
  </hyperlink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0B84C"/>
    <outlinePr summaryBelow="1" summaryRight="1"/>
    <pageSetUpPr fitToPage="1"/>
  </sheetPr>
  <dimension ref="A1:J37"/>
  <sheetViews>
    <sheetView showGridLines="0" showRowColHeader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4" customWidth="1" min="4" max="4"/>
    <col width="16" customWidth="1" min="5" max="5"/>
    <col width="30" customWidth="1" min="6" max="6"/>
    <col width="15" customWidth="1" min="7" max="7"/>
    <col width="15" customWidth="1" min="8" max="8"/>
    <col width="15" customWidth="1" min="9" max="9"/>
    <col width="3" customWidth="1" min="10" max="10"/>
  </cols>
  <sheetData>
    <row r="1" ht="52" customHeight="1">
      <c r="A1" s="28" t="inlineStr">
        <is>
          <t>Passo 2  ·  Preço sugerido por serviço</t>
        </is>
      </c>
      <c r="B1" s="1" t="n"/>
      <c r="C1" s="1" t="n"/>
      <c r="D1" s="1" t="n"/>
      <c r="E1" s="1" t="n"/>
      <c r="F1" s="1" t="n"/>
      <c r="G1" s="11" t="inlineStr">
        <is>
          <t>Próximo: Meu Painel  →</t>
        </is>
      </c>
      <c r="H1" s="12" t="n"/>
      <c r="I1" s="12" t="n"/>
      <c r="J1" s="1" t="n"/>
    </row>
    <row r="2" ht="24" customHeight="1">
      <c r="A2" s="29" t="inlineStr">
        <is>
          <t>Preencha as células amarelas (A a D). O PREÇO SUGERIDO aparece sozinho ao lado. Os serviços abaixo são EXEMPLOS: troque pelos seus.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38" customHeight="1">
      <c r="A4" s="47" t="inlineStr">
        <is>
          <t>Serviço</t>
        </is>
      </c>
      <c r="B4" s="47" t="inlineStr">
        <is>
          <t>Tempo (min)</t>
        </is>
      </c>
      <c r="C4" s="47" t="inlineStr">
        <is>
          <t>Material (R$)</t>
        </is>
      </c>
      <c r="D4" s="47" t="inlineStr">
        <is>
          <t>Cobro hoje (R$)</t>
        </is>
      </c>
      <c r="E4" s="48" t="inlineStr">
        <is>
          <t>PREÇO SUGERIDO (R$)</t>
        </is>
      </c>
      <c r="F4" s="48" t="inlineStr">
        <is>
          <t>Situação</t>
        </is>
      </c>
      <c r="G4" s="49" t="inlineStr">
        <is>
          <t>Custo do tempo (R$)</t>
        </is>
      </c>
      <c r="H4" s="49" t="inlineStr">
        <is>
          <t>Custo total (R$)</t>
        </is>
      </c>
      <c r="I4" s="49" t="inlineStr">
        <is>
          <t>Lucro hoje (R$)</t>
        </is>
      </c>
      <c r="J4" s="6" t="n"/>
    </row>
    <row r="5" ht="21" customHeight="1">
      <c r="A5" s="50" t="inlineStr">
        <is>
          <t>Corte feminino</t>
        </is>
      </c>
      <c r="B5" s="51" t="n">
        <v>60</v>
      </c>
      <c r="C5" s="52" t="n">
        <v>10</v>
      </c>
      <c r="D5" s="52" t="n">
        <v>105</v>
      </c>
      <c r="E5" s="53">
        <f>IF(B5="","",ROUNDUP(H5/(1-'Meu custo por hora'!$B$28-'Meu custo por hora'!$B$29),0))</f>
        <v/>
      </c>
      <c r="F5" s="54">
        <f>IF(OR(B5="",D5=""),"",IF(D5&gt;=E5,"OK: cobre custos e margem",IF(I5&gt;=0,"Atenção: pouca folga","PREJUÍZO: abaixo do custo")))</f>
        <v/>
      </c>
      <c r="G5" s="55">
        <f>IF(B5="","",B5/60*'Meu custo por hora'!$B$25)</f>
        <v/>
      </c>
      <c r="H5" s="55">
        <f>IF(B5="","",G5+C5)</f>
        <v/>
      </c>
      <c r="I5" s="56">
        <f>IF(OR(B5="",D5=""),"",D5*(1-'Meu custo por hora'!$B$28)-H5)</f>
        <v/>
      </c>
      <c r="J5" s="6" t="n"/>
    </row>
    <row r="6" ht="21" customHeight="1">
      <c r="A6" s="50" t="inlineStr">
        <is>
          <t>Escova</t>
        </is>
      </c>
      <c r="B6" s="51" t="n">
        <v>45</v>
      </c>
      <c r="C6" s="52" t="n">
        <v>8</v>
      </c>
      <c r="D6" s="52" t="n">
        <v>70</v>
      </c>
      <c r="E6" s="53">
        <f>IF(B6="","",ROUNDUP(H6/(1-'Meu custo por hora'!$B$28-'Meu custo por hora'!$B$29),0))</f>
        <v/>
      </c>
      <c r="F6" s="54">
        <f>IF(OR(B6="",D6=""),"",IF(D6&gt;=E6,"OK: cobre custos e margem",IF(I6&gt;=0,"Atenção: pouca folga","PREJUÍZO: abaixo do custo")))</f>
        <v/>
      </c>
      <c r="G6" s="55">
        <f>IF(B6="","",B6/60*'Meu custo por hora'!$B$25)</f>
        <v/>
      </c>
      <c r="H6" s="55">
        <f>IF(B6="","",G6+C6)</f>
        <v/>
      </c>
      <c r="I6" s="56">
        <f>IF(OR(B6="",D6=""),"",D6*(1-'Meu custo por hora'!$B$28)-H6)</f>
        <v/>
      </c>
      <c r="J6" s="6" t="n"/>
    </row>
    <row r="7" ht="21" customHeight="1">
      <c r="A7" s="50" t="inlineStr">
        <is>
          <t>Manicure em gel</t>
        </is>
      </c>
      <c r="B7" s="51" t="n">
        <v>60</v>
      </c>
      <c r="C7" s="52" t="n">
        <v>15</v>
      </c>
      <c r="D7" s="52" t="n">
        <v>90</v>
      </c>
      <c r="E7" s="53">
        <f>IF(B7="","",ROUNDUP(H7/(1-'Meu custo por hora'!$B$28-'Meu custo por hora'!$B$29),0))</f>
        <v/>
      </c>
      <c r="F7" s="54">
        <f>IF(OR(B7="",D7=""),"",IF(D7&gt;=E7,"OK: cobre custos e margem",IF(I7&gt;=0,"Atenção: pouca folga","PREJUÍZO: abaixo do custo")))</f>
        <v/>
      </c>
      <c r="G7" s="55">
        <f>IF(B7="","",B7/60*'Meu custo por hora'!$B$25)</f>
        <v/>
      </c>
      <c r="H7" s="55">
        <f>IF(B7="","",G7+C7)</f>
        <v/>
      </c>
      <c r="I7" s="56">
        <f>IF(OR(B7="",D7=""),"",D7*(1-'Meu custo por hora'!$B$28)-H7)</f>
        <v/>
      </c>
      <c r="J7" s="6" t="n"/>
    </row>
    <row r="8" ht="21" customHeight="1">
      <c r="A8" s="50" t="inlineStr">
        <is>
          <t>Design de sobrancelha</t>
        </is>
      </c>
      <c r="B8" s="51" t="n">
        <v>30</v>
      </c>
      <c r="C8" s="52" t="n">
        <v>5</v>
      </c>
      <c r="D8" s="52" t="n">
        <v>55</v>
      </c>
      <c r="E8" s="53">
        <f>IF(B8="","",ROUNDUP(H8/(1-'Meu custo por hora'!$B$28-'Meu custo por hora'!$B$29),0))</f>
        <v/>
      </c>
      <c r="F8" s="54">
        <f>IF(OR(B8="",D8=""),"",IF(D8&gt;=E8,"OK: cobre custos e margem",IF(I8&gt;=0,"Atenção: pouca folga","PREJUÍZO: abaixo do custo")))</f>
        <v/>
      </c>
      <c r="G8" s="55">
        <f>IF(B8="","",B8/60*'Meu custo por hora'!$B$25)</f>
        <v/>
      </c>
      <c r="H8" s="55">
        <f>IF(B8="","",G8+C8)</f>
        <v/>
      </c>
      <c r="I8" s="56">
        <f>IF(OR(B8="",D8=""),"",D8*(1-'Meu custo por hora'!$B$28)-H8)</f>
        <v/>
      </c>
      <c r="J8" s="6" t="n"/>
    </row>
    <row r="9" ht="21" customHeight="1">
      <c r="A9" s="50" t="inlineStr">
        <is>
          <t>Limpeza de pele</t>
        </is>
      </c>
      <c r="B9" s="51" t="n">
        <v>75</v>
      </c>
      <c r="C9" s="52" t="n">
        <v>20</v>
      </c>
      <c r="D9" s="52" t="n">
        <v>140</v>
      </c>
      <c r="E9" s="53">
        <f>IF(B9="","",ROUNDUP(H9/(1-'Meu custo por hora'!$B$28-'Meu custo por hora'!$B$29),0))</f>
        <v/>
      </c>
      <c r="F9" s="54">
        <f>IF(OR(B9="",D9=""),"",IF(D9&gt;=E9,"OK: cobre custos e margem",IF(I9&gt;=0,"Atenção: pouca folga","PREJUÍZO: abaixo do custo")))</f>
        <v/>
      </c>
      <c r="G9" s="55">
        <f>IF(B9="","",B9/60*'Meu custo por hora'!$B$25)</f>
        <v/>
      </c>
      <c r="H9" s="55">
        <f>IF(B9="","",G9+C9)</f>
        <v/>
      </c>
      <c r="I9" s="56">
        <f>IF(OR(B9="",D9=""),"",D9*(1-'Meu custo por hora'!$B$28)-H9)</f>
        <v/>
      </c>
      <c r="J9" s="6" t="n"/>
    </row>
    <row r="10" ht="21" customHeight="1">
      <c r="A10" s="50" t="inlineStr">
        <is>
          <t>Massagem relaxante</t>
        </is>
      </c>
      <c r="B10" s="51" t="n">
        <v>60</v>
      </c>
      <c r="C10" s="52" t="n">
        <v>10</v>
      </c>
      <c r="D10" s="52" t="n">
        <v>110</v>
      </c>
      <c r="E10" s="53">
        <f>IF(B10="","",ROUNDUP(H10/(1-'Meu custo por hora'!$B$28-'Meu custo por hora'!$B$29),0))</f>
        <v/>
      </c>
      <c r="F10" s="54">
        <f>IF(OR(B10="",D10=""),"",IF(D10&gt;=E10,"OK: cobre custos e margem",IF(I10&gt;=0,"Atenção: pouca folga","PREJUÍZO: abaixo do custo")))</f>
        <v/>
      </c>
      <c r="G10" s="55">
        <f>IF(B10="","",B10/60*'Meu custo por hora'!$B$25)</f>
        <v/>
      </c>
      <c r="H10" s="55">
        <f>IF(B10="","",G10+C10)</f>
        <v/>
      </c>
      <c r="I10" s="56">
        <f>IF(OR(B10="",D10=""),"",D10*(1-'Meu custo por hora'!$B$28)-H10)</f>
        <v/>
      </c>
      <c r="J10" s="6" t="n"/>
    </row>
    <row r="11" ht="21" customHeight="1">
      <c r="A11" s="50" t="inlineStr">
        <is>
          <t>Extensão de cílios</t>
        </is>
      </c>
      <c r="B11" s="51" t="n">
        <v>120</v>
      </c>
      <c r="C11" s="52" t="n">
        <v>40</v>
      </c>
      <c r="D11" s="52" t="n">
        <v>230</v>
      </c>
      <c r="E11" s="53">
        <f>IF(B11="","",ROUNDUP(H11/(1-'Meu custo por hora'!$B$28-'Meu custo por hora'!$B$29),0))</f>
        <v/>
      </c>
      <c r="F11" s="54">
        <f>IF(OR(B11="",D11=""),"",IF(D11&gt;=E11,"OK: cobre custos e margem",IF(I11&gt;=0,"Atenção: pouca folga","PREJUÍZO: abaixo do custo")))</f>
        <v/>
      </c>
      <c r="G11" s="55">
        <f>IF(B11="","",B11/60*'Meu custo por hora'!$B$25)</f>
        <v/>
      </c>
      <c r="H11" s="55">
        <f>IF(B11="","",G11+C11)</f>
        <v/>
      </c>
      <c r="I11" s="56">
        <f>IF(OR(B11="",D11=""),"",D11*(1-'Meu custo por hora'!$B$28)-H11)</f>
        <v/>
      </c>
      <c r="J11" s="6" t="n"/>
    </row>
    <row r="12" ht="21" customHeight="1">
      <c r="A12" s="50" t="inlineStr">
        <is>
          <t>Depilação (perna)</t>
        </is>
      </c>
      <c r="B12" s="51" t="n">
        <v>40</v>
      </c>
      <c r="C12" s="52" t="n">
        <v>10</v>
      </c>
      <c r="D12" s="52" t="n">
        <v>75</v>
      </c>
      <c r="E12" s="53">
        <f>IF(B12="","",ROUNDUP(H12/(1-'Meu custo por hora'!$B$28-'Meu custo por hora'!$B$29),0))</f>
        <v/>
      </c>
      <c r="F12" s="54">
        <f>IF(OR(B12="",D12=""),"",IF(D12&gt;=E12,"OK: cobre custos e margem",IF(I12&gt;=0,"Atenção: pouca folga","PREJUÍZO: abaixo do custo")))</f>
        <v/>
      </c>
      <c r="G12" s="55">
        <f>IF(B12="","",B12/60*'Meu custo por hora'!$B$25)</f>
        <v/>
      </c>
      <c r="H12" s="55">
        <f>IF(B12="","",G12+C12)</f>
        <v/>
      </c>
      <c r="I12" s="56">
        <f>IF(OR(B12="",D12=""),"",D12*(1-'Meu custo por hora'!$B$28)-H12)</f>
        <v/>
      </c>
      <c r="J12" s="6" t="n"/>
    </row>
    <row r="13" ht="21" customHeight="1">
      <c r="A13" s="50" t="n"/>
      <c r="B13" s="51" t="n"/>
      <c r="C13" s="52" t="n"/>
      <c r="D13" s="52" t="n"/>
      <c r="E13" s="53">
        <f>IF(B13="","",ROUNDUP(H13/(1-'Meu custo por hora'!$B$28-'Meu custo por hora'!$B$29),0))</f>
        <v/>
      </c>
      <c r="F13" s="54">
        <f>IF(OR(B13="",D13=""),"",IF(D13&gt;=E13,"OK: cobre custos e margem",IF(I13&gt;=0,"Atenção: pouca folga","PREJUÍZO: abaixo do custo")))</f>
        <v/>
      </c>
      <c r="G13" s="55">
        <f>IF(B13="","",B13/60*'Meu custo por hora'!$B$25)</f>
        <v/>
      </c>
      <c r="H13" s="55">
        <f>IF(B13="","",G13+C13)</f>
        <v/>
      </c>
      <c r="I13" s="56">
        <f>IF(OR(B13="",D13=""),"",D13*(1-'Meu custo por hora'!$B$28)-H13)</f>
        <v/>
      </c>
      <c r="J13" s="6" t="n"/>
    </row>
    <row r="14" ht="21" customHeight="1">
      <c r="A14" s="50" t="n"/>
      <c r="B14" s="51" t="n"/>
      <c r="C14" s="52" t="n"/>
      <c r="D14" s="52" t="n"/>
      <c r="E14" s="53">
        <f>IF(B14="","",ROUNDUP(H14/(1-'Meu custo por hora'!$B$28-'Meu custo por hora'!$B$29),0))</f>
        <v/>
      </c>
      <c r="F14" s="54">
        <f>IF(OR(B14="",D14=""),"",IF(D14&gt;=E14,"OK: cobre custos e margem",IF(I14&gt;=0,"Atenção: pouca folga","PREJUÍZO: abaixo do custo")))</f>
        <v/>
      </c>
      <c r="G14" s="55">
        <f>IF(B14="","",B14/60*'Meu custo por hora'!$B$25)</f>
        <v/>
      </c>
      <c r="H14" s="55">
        <f>IF(B14="","",G14+C14)</f>
        <v/>
      </c>
      <c r="I14" s="56">
        <f>IF(OR(B14="",D14=""),"",D14*(1-'Meu custo por hora'!$B$28)-H14)</f>
        <v/>
      </c>
      <c r="J14" s="6" t="n"/>
    </row>
    <row r="15" ht="21" customHeight="1">
      <c r="A15" s="50" t="n"/>
      <c r="B15" s="51" t="n"/>
      <c r="C15" s="52" t="n"/>
      <c r="D15" s="52" t="n"/>
      <c r="E15" s="53">
        <f>IF(B15="","",ROUNDUP(H15/(1-'Meu custo por hora'!$B$28-'Meu custo por hora'!$B$29),0))</f>
        <v/>
      </c>
      <c r="F15" s="54">
        <f>IF(OR(B15="",D15=""),"",IF(D15&gt;=E15,"OK: cobre custos e margem",IF(I15&gt;=0,"Atenção: pouca folga","PREJUÍZO: abaixo do custo")))</f>
        <v/>
      </c>
      <c r="G15" s="55">
        <f>IF(B15="","",B15/60*'Meu custo por hora'!$B$25)</f>
        <v/>
      </c>
      <c r="H15" s="55">
        <f>IF(B15="","",G15+C15)</f>
        <v/>
      </c>
      <c r="I15" s="56">
        <f>IF(OR(B15="",D15=""),"",D15*(1-'Meu custo por hora'!$B$28)-H15)</f>
        <v/>
      </c>
      <c r="J15" s="6" t="n"/>
    </row>
    <row r="16" ht="21" customHeight="1">
      <c r="A16" s="50" t="n"/>
      <c r="B16" s="51" t="n"/>
      <c r="C16" s="52" t="n"/>
      <c r="D16" s="52" t="n"/>
      <c r="E16" s="53">
        <f>IF(B16="","",ROUNDUP(H16/(1-'Meu custo por hora'!$B$28-'Meu custo por hora'!$B$29),0))</f>
        <v/>
      </c>
      <c r="F16" s="54">
        <f>IF(OR(B16="",D16=""),"",IF(D16&gt;=E16,"OK: cobre custos e margem",IF(I16&gt;=0,"Atenção: pouca folga","PREJUÍZO: abaixo do custo")))</f>
        <v/>
      </c>
      <c r="G16" s="55">
        <f>IF(B16="","",B16/60*'Meu custo por hora'!$B$25)</f>
        <v/>
      </c>
      <c r="H16" s="55">
        <f>IF(B16="","",G16+C16)</f>
        <v/>
      </c>
      <c r="I16" s="56">
        <f>IF(OR(B16="",D16=""),"",D16*(1-'Meu custo por hora'!$B$28)-H16)</f>
        <v/>
      </c>
      <c r="J16" s="6" t="n"/>
    </row>
    <row r="17" ht="21" customHeight="1">
      <c r="A17" s="50" t="n"/>
      <c r="B17" s="51" t="n"/>
      <c r="C17" s="52" t="n"/>
      <c r="D17" s="52" t="n"/>
      <c r="E17" s="53">
        <f>IF(B17="","",ROUNDUP(H17/(1-'Meu custo por hora'!$B$28-'Meu custo por hora'!$B$29),0))</f>
        <v/>
      </c>
      <c r="F17" s="54">
        <f>IF(OR(B17="",D17=""),"",IF(D17&gt;=E17,"OK: cobre custos e margem",IF(I17&gt;=0,"Atenção: pouca folga","PREJUÍZO: abaixo do custo")))</f>
        <v/>
      </c>
      <c r="G17" s="55">
        <f>IF(B17="","",B17/60*'Meu custo por hora'!$B$25)</f>
        <v/>
      </c>
      <c r="H17" s="55">
        <f>IF(B17="","",G17+C17)</f>
        <v/>
      </c>
      <c r="I17" s="56">
        <f>IF(OR(B17="",D17=""),"",D17*(1-'Meu custo por hora'!$B$28)-H17)</f>
        <v/>
      </c>
      <c r="J17" s="6" t="n"/>
    </row>
    <row r="18" ht="21" customHeight="1">
      <c r="A18" s="50" t="n"/>
      <c r="B18" s="51" t="n"/>
      <c r="C18" s="52" t="n"/>
      <c r="D18" s="52" t="n"/>
      <c r="E18" s="53">
        <f>IF(B18="","",ROUNDUP(H18/(1-'Meu custo por hora'!$B$28-'Meu custo por hora'!$B$29),0))</f>
        <v/>
      </c>
      <c r="F18" s="54">
        <f>IF(OR(B18="",D18=""),"",IF(D18&gt;=E18,"OK: cobre custos e margem",IF(I18&gt;=0,"Atenção: pouca folga","PREJUÍZO: abaixo do custo")))</f>
        <v/>
      </c>
      <c r="G18" s="55">
        <f>IF(B18="","",B18/60*'Meu custo por hora'!$B$25)</f>
        <v/>
      </c>
      <c r="H18" s="55">
        <f>IF(B18="","",G18+C18)</f>
        <v/>
      </c>
      <c r="I18" s="56">
        <f>IF(OR(B18="",D18=""),"",D18*(1-'Meu custo por hora'!$B$28)-H18)</f>
        <v/>
      </c>
      <c r="J18" s="6" t="n"/>
    </row>
    <row r="19" ht="21" customHeight="1">
      <c r="A19" s="50" t="n"/>
      <c r="B19" s="51" t="n"/>
      <c r="C19" s="52" t="n"/>
      <c r="D19" s="52" t="n"/>
      <c r="E19" s="53">
        <f>IF(B19="","",ROUNDUP(H19/(1-'Meu custo por hora'!$B$28-'Meu custo por hora'!$B$29),0))</f>
        <v/>
      </c>
      <c r="F19" s="54">
        <f>IF(OR(B19="",D19=""),"",IF(D19&gt;=E19,"OK: cobre custos e margem",IF(I19&gt;=0,"Atenção: pouca folga","PREJUÍZO: abaixo do custo")))</f>
        <v/>
      </c>
      <c r="G19" s="55">
        <f>IF(B19="","",B19/60*'Meu custo por hora'!$B$25)</f>
        <v/>
      </c>
      <c r="H19" s="55">
        <f>IF(B19="","",G19+C19)</f>
        <v/>
      </c>
      <c r="I19" s="56">
        <f>IF(OR(B19="",D19=""),"",D19*(1-'Meu custo por hora'!$B$28)-H19)</f>
        <v/>
      </c>
      <c r="J19" s="6" t="n"/>
    </row>
    <row r="20" ht="21" customHeight="1">
      <c r="A20" s="50" t="n"/>
      <c r="B20" s="51" t="n"/>
      <c r="C20" s="52" t="n"/>
      <c r="D20" s="52" t="n"/>
      <c r="E20" s="53">
        <f>IF(B20="","",ROUNDUP(H20/(1-'Meu custo por hora'!$B$28-'Meu custo por hora'!$B$29),0))</f>
        <v/>
      </c>
      <c r="F20" s="54">
        <f>IF(OR(B20="",D20=""),"",IF(D20&gt;=E20,"OK: cobre custos e margem",IF(I20&gt;=0,"Atenção: pouca folga","PREJUÍZO: abaixo do custo")))</f>
        <v/>
      </c>
      <c r="G20" s="55">
        <f>IF(B20="","",B20/60*'Meu custo por hora'!$B$25)</f>
        <v/>
      </c>
      <c r="H20" s="55">
        <f>IF(B20="","",G20+C20)</f>
        <v/>
      </c>
      <c r="I20" s="56">
        <f>IF(OR(B20="",D20=""),"",D20*(1-'Meu custo por hora'!$B$28)-H20)</f>
        <v/>
      </c>
      <c r="J20" s="6" t="n"/>
    </row>
    <row r="21" ht="21" customHeight="1">
      <c r="A21" s="50" t="n"/>
      <c r="B21" s="51" t="n"/>
      <c r="C21" s="52" t="n"/>
      <c r="D21" s="52" t="n"/>
      <c r="E21" s="53">
        <f>IF(B21="","",ROUNDUP(H21/(1-'Meu custo por hora'!$B$28-'Meu custo por hora'!$B$29),0))</f>
        <v/>
      </c>
      <c r="F21" s="54">
        <f>IF(OR(B21="",D21=""),"",IF(D21&gt;=E21,"OK: cobre custos e margem",IF(I21&gt;=0,"Atenção: pouca folga","PREJUÍZO: abaixo do custo")))</f>
        <v/>
      </c>
      <c r="G21" s="55">
        <f>IF(B21="","",B21/60*'Meu custo por hora'!$B$25)</f>
        <v/>
      </c>
      <c r="H21" s="55">
        <f>IF(B21="","",G21+C21)</f>
        <v/>
      </c>
      <c r="I21" s="56">
        <f>IF(OR(B21="",D21=""),"",D21*(1-'Meu custo por hora'!$B$28)-H21)</f>
        <v/>
      </c>
      <c r="J21" s="6" t="n"/>
    </row>
    <row r="22" ht="21" customHeight="1">
      <c r="A22" s="50" t="n"/>
      <c r="B22" s="51" t="n"/>
      <c r="C22" s="52" t="n"/>
      <c r="D22" s="52" t="n"/>
      <c r="E22" s="53">
        <f>IF(B22="","",ROUNDUP(H22/(1-'Meu custo por hora'!$B$28-'Meu custo por hora'!$B$29),0))</f>
        <v/>
      </c>
      <c r="F22" s="54">
        <f>IF(OR(B22="",D22=""),"",IF(D22&gt;=E22,"OK: cobre custos e margem",IF(I22&gt;=0,"Atenção: pouca folga","PREJUÍZO: abaixo do custo")))</f>
        <v/>
      </c>
      <c r="G22" s="55">
        <f>IF(B22="","",B22/60*'Meu custo por hora'!$B$25)</f>
        <v/>
      </c>
      <c r="H22" s="55">
        <f>IF(B22="","",G22+C22)</f>
        <v/>
      </c>
      <c r="I22" s="56">
        <f>IF(OR(B22="",D22=""),"",D22*(1-'Meu custo por hora'!$B$28)-H22)</f>
        <v/>
      </c>
      <c r="J22" s="6" t="n"/>
    </row>
    <row r="23" ht="21" customHeight="1">
      <c r="A23" s="50" t="n"/>
      <c r="B23" s="51" t="n"/>
      <c r="C23" s="52" t="n"/>
      <c r="D23" s="52" t="n"/>
      <c r="E23" s="53">
        <f>IF(B23="","",ROUNDUP(H23/(1-'Meu custo por hora'!$B$28-'Meu custo por hora'!$B$29),0))</f>
        <v/>
      </c>
      <c r="F23" s="54">
        <f>IF(OR(B23="",D23=""),"",IF(D23&gt;=E23,"OK: cobre custos e margem",IF(I23&gt;=0,"Atenção: pouca folga","PREJUÍZO: abaixo do custo")))</f>
        <v/>
      </c>
      <c r="G23" s="55">
        <f>IF(B23="","",B23/60*'Meu custo por hora'!$B$25)</f>
        <v/>
      </c>
      <c r="H23" s="55">
        <f>IF(B23="","",G23+C23)</f>
        <v/>
      </c>
      <c r="I23" s="56">
        <f>IF(OR(B23="",D23=""),"",D23*(1-'Meu custo por hora'!$B$28)-H23)</f>
        <v/>
      </c>
      <c r="J23" s="6" t="n"/>
    </row>
    <row r="24" ht="21" customHeight="1">
      <c r="A24" s="50" t="n"/>
      <c r="B24" s="51" t="n"/>
      <c r="C24" s="52" t="n"/>
      <c r="D24" s="52" t="n"/>
      <c r="E24" s="53">
        <f>IF(B24="","",ROUNDUP(H24/(1-'Meu custo por hora'!$B$28-'Meu custo por hora'!$B$29),0))</f>
        <v/>
      </c>
      <c r="F24" s="54">
        <f>IF(OR(B24="",D24=""),"",IF(D24&gt;=E24,"OK: cobre custos e margem",IF(I24&gt;=0,"Atenção: pouca folga","PREJUÍZO: abaixo do custo")))</f>
        <v/>
      </c>
      <c r="G24" s="55">
        <f>IF(B24="","",B24/60*'Meu custo por hora'!$B$25)</f>
        <v/>
      </c>
      <c r="H24" s="55">
        <f>IF(B24="","",G24+C24)</f>
        <v/>
      </c>
      <c r="I24" s="56">
        <f>IF(OR(B24="",D24=""),"",D24*(1-'Meu custo por hora'!$B$28)-H24)</f>
        <v/>
      </c>
      <c r="J24" s="6" t="n"/>
    </row>
    <row r="25" ht="21" customHeight="1">
      <c r="A25" s="50" t="n"/>
      <c r="B25" s="51" t="n"/>
      <c r="C25" s="52" t="n"/>
      <c r="D25" s="52" t="n"/>
      <c r="E25" s="53">
        <f>IF(B25="","",ROUNDUP(H25/(1-'Meu custo por hora'!$B$28-'Meu custo por hora'!$B$29),0))</f>
        <v/>
      </c>
      <c r="F25" s="54">
        <f>IF(OR(B25="",D25=""),"",IF(D25&gt;=E25,"OK: cobre custos e margem",IF(I25&gt;=0,"Atenção: pouca folga","PREJUÍZO: abaixo do custo")))</f>
        <v/>
      </c>
      <c r="G25" s="55">
        <f>IF(B25="","",B25/60*'Meu custo por hora'!$B$25)</f>
        <v/>
      </c>
      <c r="H25" s="55">
        <f>IF(B25="","",G25+C25)</f>
        <v/>
      </c>
      <c r="I25" s="56">
        <f>IF(OR(B25="",D25=""),"",D25*(1-'Meu custo por hora'!$B$28)-H25)</f>
        <v/>
      </c>
      <c r="J25" s="6" t="n"/>
    </row>
    <row r="26" ht="21" customHeight="1">
      <c r="A26" s="50" t="n"/>
      <c r="B26" s="51" t="n"/>
      <c r="C26" s="52" t="n"/>
      <c r="D26" s="52" t="n"/>
      <c r="E26" s="53">
        <f>IF(B26="","",ROUNDUP(H26/(1-'Meu custo por hora'!$B$28-'Meu custo por hora'!$B$29),0))</f>
        <v/>
      </c>
      <c r="F26" s="54">
        <f>IF(OR(B26="",D26=""),"",IF(D26&gt;=E26,"OK: cobre custos e margem",IF(I26&gt;=0,"Atenção: pouca folga","PREJUÍZO: abaixo do custo")))</f>
        <v/>
      </c>
      <c r="G26" s="55">
        <f>IF(B26="","",B26/60*'Meu custo por hora'!$B$25)</f>
        <v/>
      </c>
      <c r="H26" s="55">
        <f>IF(B26="","",G26+C26)</f>
        <v/>
      </c>
      <c r="I26" s="56">
        <f>IF(OR(B26="",D26=""),"",D26*(1-'Meu custo por hora'!$B$28)-H26)</f>
        <v/>
      </c>
      <c r="J26" s="6" t="n"/>
    </row>
    <row r="27" ht="21" customHeight="1">
      <c r="A27" s="50" t="n"/>
      <c r="B27" s="51" t="n"/>
      <c r="C27" s="52" t="n"/>
      <c r="D27" s="52" t="n"/>
      <c r="E27" s="53">
        <f>IF(B27="","",ROUNDUP(H27/(1-'Meu custo por hora'!$B$28-'Meu custo por hora'!$B$29),0))</f>
        <v/>
      </c>
      <c r="F27" s="54">
        <f>IF(OR(B27="",D27=""),"",IF(D27&gt;=E27,"OK: cobre custos e margem",IF(I27&gt;=0,"Atenção: pouca folga","PREJUÍZO: abaixo do custo")))</f>
        <v/>
      </c>
      <c r="G27" s="55">
        <f>IF(B27="","",B27/60*'Meu custo por hora'!$B$25)</f>
        <v/>
      </c>
      <c r="H27" s="55">
        <f>IF(B27="","",G27+C27)</f>
        <v/>
      </c>
      <c r="I27" s="56">
        <f>IF(OR(B27="",D27=""),"",D27*(1-'Meu custo por hora'!$B$28)-H27)</f>
        <v/>
      </c>
      <c r="J27" s="6" t="n"/>
    </row>
    <row r="28" ht="21" customHeight="1">
      <c r="A28" s="50" t="n"/>
      <c r="B28" s="51" t="n"/>
      <c r="C28" s="52" t="n"/>
      <c r="D28" s="52" t="n"/>
      <c r="E28" s="53">
        <f>IF(B28="","",ROUNDUP(H28/(1-'Meu custo por hora'!$B$28-'Meu custo por hora'!$B$29),0))</f>
        <v/>
      </c>
      <c r="F28" s="54">
        <f>IF(OR(B28="",D28=""),"",IF(D28&gt;=E28,"OK: cobre custos e margem",IF(I28&gt;=0,"Atenção: pouca folga","PREJUÍZO: abaixo do custo")))</f>
        <v/>
      </c>
      <c r="G28" s="55">
        <f>IF(B28="","",B28/60*'Meu custo por hora'!$B$25)</f>
        <v/>
      </c>
      <c r="H28" s="55">
        <f>IF(B28="","",G28+C28)</f>
        <v/>
      </c>
      <c r="I28" s="56">
        <f>IF(OR(B28="",D28=""),"",D28*(1-'Meu custo por hora'!$B$28)-H28)</f>
        <v/>
      </c>
      <c r="J28" s="6" t="n"/>
    </row>
    <row r="29" ht="21" customHeight="1">
      <c r="A29" s="50" t="n"/>
      <c r="B29" s="51" t="n"/>
      <c r="C29" s="52" t="n"/>
      <c r="D29" s="52" t="n"/>
      <c r="E29" s="53">
        <f>IF(B29="","",ROUNDUP(H29/(1-'Meu custo por hora'!$B$28-'Meu custo por hora'!$B$29),0))</f>
        <v/>
      </c>
      <c r="F29" s="54">
        <f>IF(OR(B29="",D29=""),"",IF(D29&gt;=E29,"OK: cobre custos e margem",IF(I29&gt;=0,"Atenção: pouca folga","PREJUÍZO: abaixo do custo")))</f>
        <v/>
      </c>
      <c r="G29" s="55">
        <f>IF(B29="","",B29/60*'Meu custo por hora'!$B$25)</f>
        <v/>
      </c>
      <c r="H29" s="55">
        <f>IF(B29="","",G29+C29)</f>
        <v/>
      </c>
      <c r="I29" s="56">
        <f>IF(OR(B29="",D29=""),"",D29*(1-'Meu custo por hora'!$B$28)-H29)</f>
        <v/>
      </c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57" t="inlineStr">
        <is>
          <t>✦  Como o preço é calculado: (custo do tempo + material) ÷ (1 − taxa do cartão − margem), arredondado para cima ao real.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57" t="inlineStr">
        <is>
          <t>✦  Custo do tempo = minutos ÷ 60 × custo da sua hora (aba “Meu custo por hora”). As colunas de conta ficam à direita (G a I).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57" t="inlineStr">
        <is>
          <t>✦  Lucro hoje = o que você cobra, menos a taxa do cartão, menos o custo total. Negativo = você paga para fazer esse serviço.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57" t="inlineStr">
        <is>
          <t>✦  Tempos e materiais dos exemplos são ilustrativos. Meça os seus: cronometre 3 atendimentos e anote o que gastou.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</sheetData>
  <mergeCells count="8">
    <mergeCell ref="A33:I33"/>
    <mergeCell ref="A32:I32"/>
    <mergeCell ref="A1:F1"/>
    <mergeCell ref="A3:J3"/>
    <mergeCell ref="A31:I31"/>
    <mergeCell ref="A2:J2"/>
    <mergeCell ref="A34:I34"/>
    <mergeCell ref="G1:I1"/>
  </mergeCells>
  <conditionalFormatting sqref="F5:F29">
    <cfRule type="expression" priority="1" dxfId="0">
      <formula>LEFT($F5,2)="OK"</formula>
    </cfRule>
    <cfRule type="expression" priority="2" dxfId="1">
      <formula>LEFT($F5,7)="Atenção"</formula>
    </cfRule>
    <cfRule type="expression" priority="3" dxfId="2">
      <formula>LEFT($F5,4)="PREJ"</formula>
    </cfRule>
  </conditionalFormatting>
  <dataValidations count="3">
    <dataValidation sqref="A5:A29" showDropDown="0" showInputMessage="1" showErrorMessage="0" allowBlank="1" promptTitle="Nome do serviço" prompt="Escreva o nome do serviço. Depois preencha tempo, material e quanto cobra hoje." type="textLength" operator="lessThanOrEqual">
      <formula1>60</formula1>
    </dataValidation>
    <dataValidation sqref="B5:B29" showDropDown="0" showInputMessage="1" showErrorMessage="1" allowBlank="1" errorTitle="Tempo em minutos" error="Digite o tempo em minutos (ex.: 45)." promptTitle="Tempo do serviço" prompt="Quantos minutos dura este atendimento (ex.: 45)." type="decimal" operator="between">
      <formula1>1</formula1>
      <formula2>720</formula2>
    </dataValidation>
    <dataValidation sqref="C5:D29" showDropDown="0" showInputMessage="1" showErrorMessage="1" allowBlank="1" errorTitle="Valor em reais" error="Digite um valor em reais (ex.: 35)." promptTitle="Em reais" prompt="Material: quanto você gasta em produtos neste atendimento. Cobro hoje: o preço que você cobra atualmente." type="decimal" operator="greaterThanOrEqual">
      <formula1>0</formula1>
    </dataValidation>
  </dataValidations>
  <hyperlinks>
    <hyperlink ref="G1" location="'Meu Painel'!A1" display="Próximo: Meu Painel  →"/>
  </hyperlink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A1236"/>
    <outlinePr summaryBelow="1" summaryRight="1"/>
    <pageSetUpPr fitToPage="1"/>
  </sheetPr>
  <dimension ref="A1:N42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" customWidth="1" min="14" max="14"/>
  </cols>
  <sheetData>
    <row r="1" ht="52" customHeight="1">
      <c r="A1" s="28" t="inlineStr">
        <is>
          <t>Seu painel de preços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1" t="inlineStr">
        <is>
          <t>Ver Tabela para divulgar  →</t>
        </is>
      </c>
      <c r="L1" s="12" t="n"/>
      <c r="M1" s="12" t="n"/>
      <c r="N1" s="1" t="n"/>
    </row>
    <row r="2" ht="24" customHeight="1">
      <c r="A2" s="29" t="inlineStr">
        <is>
          <t>Resumo automático feito com o que você preencheu nas abas anteriores. Aqui você não digita nada.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0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 ht="26" customHeight="1">
      <c r="A5" s="6" t="n"/>
      <c r="B5" s="58" t="inlineStr">
        <is>
          <t>CUSTO DA SUA HORA</t>
        </is>
      </c>
      <c r="C5" s="59" t="n"/>
      <c r="D5" s="59" t="n"/>
      <c r="E5" s="58" t="inlineStr">
        <is>
          <t>SERVIÇOS CADASTRADOS</t>
        </is>
      </c>
      <c r="F5" s="59" t="n"/>
      <c r="G5" s="59" t="n"/>
      <c r="H5" s="58" t="inlineStr">
        <is>
          <t>PEDEM REAJUSTE</t>
        </is>
      </c>
      <c r="I5" s="59" t="n"/>
      <c r="J5" s="59" t="n"/>
      <c r="K5" s="58" t="inlineStr">
        <is>
          <t>DANDO PREJUÍZO</t>
        </is>
      </c>
      <c r="L5" s="59" t="n"/>
      <c r="M5" s="59" t="n"/>
      <c r="N5" s="6" t="n"/>
    </row>
    <row r="6" ht="46" customHeight="1">
      <c r="A6" s="6" t="n"/>
      <c r="B6" s="60">
        <f>'Meu custo por hora'!B25</f>
        <v/>
      </c>
      <c r="C6" s="61" t="n"/>
      <c r="D6" s="61" t="n"/>
      <c r="E6" s="62">
        <f>COUNT('Meus serviços'!B5:B29)</f>
        <v/>
      </c>
      <c r="F6" s="61" t="n"/>
      <c r="G6" s="61" t="n"/>
      <c r="H6" s="62">
        <f>COUNTIF('Meus serviços'!F5:F29,"Atenção*")+COUNTIF('Meus serviços'!F5:F29,"PREJUÍZO*")</f>
        <v/>
      </c>
      <c r="I6" s="61" t="n"/>
      <c r="J6" s="61" t="n"/>
      <c r="K6" s="63">
        <f>COUNTIF('Meus serviços'!F5:F29,"PREJUÍZO*")</f>
        <v/>
      </c>
      <c r="L6" s="61" t="n"/>
      <c r="M6" s="61" t="n"/>
      <c r="N6" s="6" t="n"/>
    </row>
    <row r="7" ht="24" customHeight="1">
      <c r="A7" s="6" t="n"/>
      <c r="B7" s="64" t="inlineStr">
        <is>
          <t>gastos + sua retirada</t>
        </is>
      </c>
      <c r="C7" s="65" t="n"/>
      <c r="D7" s="65" t="n"/>
      <c r="E7" s="64" t="inlineStr">
        <is>
          <t>na aba Meus serviços</t>
        </is>
      </c>
      <c r="F7" s="65" t="n"/>
      <c r="G7" s="65" t="n"/>
      <c r="H7" s="64" t="inlineStr">
        <is>
          <t>pouca folga ou prejuízo</t>
        </is>
      </c>
      <c r="I7" s="65" t="n"/>
      <c r="J7" s="65" t="n"/>
      <c r="K7" s="64" t="inlineStr">
        <is>
          <t>preço abaixo do custo</t>
        </is>
      </c>
      <c r="L7" s="65" t="n"/>
      <c r="M7" s="65" t="n"/>
      <c r="N7" s="6" t="n"/>
    </row>
    <row r="8" ht="1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26" customHeight="1">
      <c r="A9" s="6" t="n"/>
      <c r="B9" s="58" t="inlineStr">
        <is>
          <t>SERVIÇOS OK</t>
        </is>
      </c>
      <c r="C9" s="59" t="n"/>
      <c r="D9" s="59" t="n"/>
      <c r="E9" s="58" t="inlineStr">
        <is>
          <t>LUCRO MÉDIO HOJE</t>
        </is>
      </c>
      <c r="F9" s="59" t="n"/>
      <c r="G9" s="59" t="n"/>
      <c r="H9" s="58" t="inlineStr">
        <is>
          <t>MAIS LUCRATIVO</t>
        </is>
      </c>
      <c r="I9" s="59" t="n"/>
      <c r="J9" s="59" t="n"/>
      <c r="K9" s="58" t="inlineStr">
        <is>
          <t>PEDE MAIS ATENÇÃO</t>
        </is>
      </c>
      <c r="L9" s="59" t="n"/>
      <c r="M9" s="59" t="n"/>
      <c r="N9" s="6" t="n"/>
    </row>
    <row r="10" ht="46" customHeight="1">
      <c r="A10" s="6" t="n"/>
      <c r="B10" s="66">
        <f>COUNTIF('Meus serviços'!F5:F29,"OK*")</f>
        <v/>
      </c>
      <c r="C10" s="61" t="n"/>
      <c r="D10" s="61" t="n"/>
      <c r="E10" s="67">
        <f>IFERROR(AVERAGE('Meus serviços'!I5:I29),0)</f>
        <v/>
      </c>
      <c r="F10" s="61" t="n"/>
      <c r="G10" s="61" t="n"/>
      <c r="H10" s="68">
        <f>IFERROR(INDEX('Meus serviços'!A5:A29,MATCH(MAX('Meus serviços'!I5:I29),'Meus serviços'!I5:I29,0)),"-")</f>
        <v/>
      </c>
      <c r="I10" s="61" t="n"/>
      <c r="J10" s="61" t="n"/>
      <c r="K10" s="69">
        <f>IFERROR(INDEX('Meus serviços'!A5:A29,MATCH(MIN('Meus serviços'!I5:I29),'Meus serviços'!I5:I29,0)),"-")</f>
        <v/>
      </c>
      <c r="L10" s="61" t="n"/>
      <c r="M10" s="61" t="n"/>
      <c r="N10" s="6" t="n"/>
    </row>
    <row r="11" ht="24" customHeight="1">
      <c r="A11" s="6" t="n"/>
      <c r="B11" s="64" t="inlineStr">
        <is>
          <t>cobrem custos e margem</t>
        </is>
      </c>
      <c r="C11" s="65" t="n"/>
      <c r="D11" s="65" t="n"/>
      <c r="E11" s="64" t="inlineStr">
        <is>
          <t>por atendimento, após a maquininha</t>
        </is>
      </c>
      <c r="F11" s="65" t="n"/>
      <c r="G11" s="65" t="n"/>
      <c r="H11" s="64" t="inlineStr">
        <is>
          <t>maior lucro por atendimento</t>
        </is>
      </c>
      <c r="I11" s="65" t="n"/>
      <c r="J11" s="65" t="n"/>
      <c r="K11" s="64" t="inlineStr">
        <is>
          <t>menor lucro por atendimento</t>
        </is>
      </c>
      <c r="L11" s="65" t="n"/>
      <c r="M11" s="65" t="n"/>
      <c r="N11" s="6" t="n"/>
    </row>
    <row r="12" ht="1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34" customHeight="1">
      <c r="A13" s="6" t="n"/>
      <c r="B13" s="70">
        <f>IF(K6&gt;0,"Atenção: "&amp;K6&amp;" serviço(s) estão com preço abaixo do custo. Veja o preço sugerido na aba Meus serviços.",IF(H6&gt;0,"Alguns serviços têm pouca folga. Compare o preço de hoje com o preço sugerido.","Os preços cadastrados cobrem seus custos e a margem. Revise quando seus gastos mudarem."))</f>
        <v/>
      </c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6" t="n"/>
    </row>
    <row r="14" ht="1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28" customHeight="1">
      <c r="A15" s="6" t="n"/>
      <c r="B15" s="16" t="inlineStr">
        <is>
          <t>Quanto você cobra hoje × preço sugerido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6" t="n"/>
      <c r="B36" s="57" t="inlineStr">
        <is>
          <t>✦  O gráfico mostra os 10 primeiros serviços da aba “Meus serviços”.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</sheetData>
  <mergeCells count="31">
    <mergeCell ref="B11:D11"/>
    <mergeCell ref="E10:G10"/>
    <mergeCell ref="E9:G9"/>
    <mergeCell ref="B13:M13"/>
    <mergeCell ref="H11:J11"/>
    <mergeCell ref="H7:J7"/>
    <mergeCell ref="E6:G6"/>
    <mergeCell ref="B10:D10"/>
    <mergeCell ref="E11:G11"/>
    <mergeCell ref="B9:D9"/>
    <mergeCell ref="E7:G7"/>
    <mergeCell ref="B6:D6"/>
    <mergeCell ref="K7:M7"/>
    <mergeCell ref="A1:J1"/>
    <mergeCell ref="B5:D5"/>
    <mergeCell ref="A3:N3"/>
    <mergeCell ref="B15:M15"/>
    <mergeCell ref="K10:M10"/>
    <mergeCell ref="K6:M6"/>
    <mergeCell ref="H5:J5"/>
    <mergeCell ref="A2:N2"/>
    <mergeCell ref="B36:M36"/>
    <mergeCell ref="K1:M1"/>
    <mergeCell ref="B7:D7"/>
    <mergeCell ref="H10:J10"/>
    <mergeCell ref="K9:M9"/>
    <mergeCell ref="E5:G5"/>
    <mergeCell ref="K5:M5"/>
    <mergeCell ref="H9:J9"/>
    <mergeCell ref="K11:M11"/>
    <mergeCell ref="H6:J6"/>
  </mergeCells>
  <hyperlinks>
    <hyperlink ref="K1" location="'Tabela para divulgar'!A1" display="Ver Tabela para divulgar  →"/>
  </hyperlink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4B6CC"/>
    <outlinePr summaryBelow="1" summaryRight="1"/>
    <pageSetUpPr fitToPage="1"/>
  </sheetPr>
  <dimension ref="A1:D34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3" customWidth="1" min="4" max="4"/>
  </cols>
  <sheetData>
    <row r="1" ht="46" customHeight="1">
      <c r="A1" s="72" t="inlineStr">
        <is>
          <t>Tabela de preços</t>
        </is>
      </c>
      <c r="B1" s="1" t="n"/>
      <c r="C1" s="1" t="n"/>
      <c r="D1" s="1" t="n"/>
    </row>
    <row r="2" ht="4" customHeight="1">
      <c r="A2" s="5" t="n"/>
      <c r="B2" s="5" t="n"/>
      <c r="C2" s="5" t="n"/>
      <c r="D2" s="5" t="n"/>
    </row>
    <row r="3" ht="26" customHeight="1">
      <c r="A3" s="6" t="n"/>
      <c r="B3" s="73" t="inlineStr">
        <is>
          <t>Digite aqui o nome do seu studio (opcional)</t>
        </is>
      </c>
      <c r="C3" s="18" t="n"/>
      <c r="D3" s="6" t="n"/>
    </row>
    <row r="4" ht="8" customHeight="1">
      <c r="A4" s="6" t="n"/>
      <c r="B4" s="6" t="n"/>
      <c r="C4" s="6" t="n"/>
      <c r="D4" s="6" t="n"/>
    </row>
    <row r="5" ht="24" customHeight="1">
      <c r="A5" s="6" t="n"/>
      <c r="B5" s="74" t="inlineStr">
        <is>
          <t>Serviço</t>
        </is>
      </c>
      <c r="C5" s="75" t="inlineStr">
        <is>
          <t>Preço</t>
        </is>
      </c>
      <c r="D5" s="6" t="n"/>
    </row>
    <row r="6" ht="24" customHeight="1">
      <c r="A6" s="6" t="n"/>
      <c r="B6" s="76">
        <f>IF('Meus serviços'!B5="","",'Meus serviços'!A5)</f>
        <v/>
      </c>
      <c r="C6" s="77">
        <f>IF('Meus serviços'!B5="","",IF('Meus serviços'!D5&gt;='Meus serviços'!E5,'Meus serviços'!D5,'Meus serviços'!E5))</f>
        <v/>
      </c>
      <c r="D6" s="6" t="n"/>
    </row>
    <row r="7" ht="24" customHeight="1">
      <c r="A7" s="6" t="n"/>
      <c r="B7" s="76">
        <f>IF('Meus serviços'!B6="","",'Meus serviços'!A6)</f>
        <v/>
      </c>
      <c r="C7" s="77">
        <f>IF('Meus serviços'!B6="","",IF('Meus serviços'!D6&gt;='Meus serviços'!E6,'Meus serviços'!D6,'Meus serviços'!E6))</f>
        <v/>
      </c>
      <c r="D7" s="6" t="n"/>
    </row>
    <row r="8" ht="24" customHeight="1">
      <c r="A8" s="6" t="n"/>
      <c r="B8" s="76">
        <f>IF('Meus serviços'!B7="","",'Meus serviços'!A7)</f>
        <v/>
      </c>
      <c r="C8" s="77">
        <f>IF('Meus serviços'!B7="","",IF('Meus serviços'!D7&gt;='Meus serviços'!E7,'Meus serviços'!D7,'Meus serviços'!E7))</f>
        <v/>
      </c>
      <c r="D8" s="6" t="n"/>
    </row>
    <row r="9" ht="24" customHeight="1">
      <c r="A9" s="6" t="n"/>
      <c r="B9" s="76">
        <f>IF('Meus serviços'!B8="","",'Meus serviços'!A8)</f>
        <v/>
      </c>
      <c r="C9" s="77">
        <f>IF('Meus serviços'!B8="","",IF('Meus serviços'!D8&gt;='Meus serviços'!E8,'Meus serviços'!D8,'Meus serviços'!E8))</f>
        <v/>
      </c>
      <c r="D9" s="6" t="n"/>
    </row>
    <row r="10" ht="24" customHeight="1">
      <c r="A10" s="6" t="n"/>
      <c r="B10" s="76">
        <f>IF('Meus serviços'!B9="","",'Meus serviços'!A9)</f>
        <v/>
      </c>
      <c r="C10" s="77">
        <f>IF('Meus serviços'!B9="","",IF('Meus serviços'!D9&gt;='Meus serviços'!E9,'Meus serviços'!D9,'Meus serviços'!E9))</f>
        <v/>
      </c>
      <c r="D10" s="6" t="n"/>
    </row>
    <row r="11" ht="24" customHeight="1">
      <c r="A11" s="6" t="n"/>
      <c r="B11" s="76">
        <f>IF('Meus serviços'!B10="","",'Meus serviços'!A10)</f>
        <v/>
      </c>
      <c r="C11" s="77">
        <f>IF('Meus serviços'!B10="","",IF('Meus serviços'!D10&gt;='Meus serviços'!E10,'Meus serviços'!D10,'Meus serviços'!E10))</f>
        <v/>
      </c>
      <c r="D11" s="6" t="n"/>
    </row>
    <row r="12" ht="24" customHeight="1">
      <c r="A12" s="6" t="n"/>
      <c r="B12" s="76">
        <f>IF('Meus serviços'!B11="","",'Meus serviços'!A11)</f>
        <v/>
      </c>
      <c r="C12" s="77">
        <f>IF('Meus serviços'!B11="","",IF('Meus serviços'!D11&gt;='Meus serviços'!E11,'Meus serviços'!D11,'Meus serviços'!E11))</f>
        <v/>
      </c>
      <c r="D12" s="6" t="n"/>
    </row>
    <row r="13" ht="24" customHeight="1">
      <c r="A13" s="6" t="n"/>
      <c r="B13" s="76">
        <f>IF('Meus serviços'!B12="","",'Meus serviços'!A12)</f>
        <v/>
      </c>
      <c r="C13" s="77">
        <f>IF('Meus serviços'!B12="","",IF('Meus serviços'!D12&gt;='Meus serviços'!E12,'Meus serviços'!D12,'Meus serviços'!E12))</f>
        <v/>
      </c>
      <c r="D13" s="6" t="n"/>
    </row>
    <row r="14" ht="24" customHeight="1">
      <c r="A14" s="6" t="n"/>
      <c r="B14" s="76">
        <f>IF('Meus serviços'!B13="","",'Meus serviços'!A13)</f>
        <v/>
      </c>
      <c r="C14" s="77">
        <f>IF('Meus serviços'!B13="","",IF('Meus serviços'!D13&gt;='Meus serviços'!E13,'Meus serviços'!D13,'Meus serviços'!E13))</f>
        <v/>
      </c>
      <c r="D14" s="6" t="n"/>
    </row>
    <row r="15" ht="24" customHeight="1">
      <c r="A15" s="6" t="n"/>
      <c r="B15" s="76">
        <f>IF('Meus serviços'!B14="","",'Meus serviços'!A14)</f>
        <v/>
      </c>
      <c r="C15" s="77">
        <f>IF('Meus serviços'!B14="","",IF('Meus serviços'!D14&gt;='Meus serviços'!E14,'Meus serviços'!D14,'Meus serviços'!E14))</f>
        <v/>
      </c>
      <c r="D15" s="6" t="n"/>
    </row>
    <row r="16" ht="24" customHeight="1">
      <c r="A16" s="6" t="n"/>
      <c r="B16" s="76">
        <f>IF('Meus serviços'!B15="","",'Meus serviços'!A15)</f>
        <v/>
      </c>
      <c r="C16" s="77">
        <f>IF('Meus serviços'!B15="","",IF('Meus serviços'!D15&gt;='Meus serviços'!E15,'Meus serviços'!D15,'Meus serviços'!E15))</f>
        <v/>
      </c>
      <c r="D16" s="6" t="n"/>
    </row>
    <row r="17" ht="24" customHeight="1">
      <c r="A17" s="6" t="n"/>
      <c r="B17" s="76">
        <f>IF('Meus serviços'!B16="","",'Meus serviços'!A16)</f>
        <v/>
      </c>
      <c r="C17" s="77">
        <f>IF('Meus serviços'!B16="","",IF('Meus serviços'!D16&gt;='Meus serviços'!E16,'Meus serviços'!D16,'Meus serviços'!E16))</f>
        <v/>
      </c>
      <c r="D17" s="6" t="n"/>
    </row>
    <row r="18" ht="24" customHeight="1">
      <c r="A18" s="6" t="n"/>
      <c r="B18" s="76">
        <f>IF('Meus serviços'!B17="","",'Meus serviços'!A17)</f>
        <v/>
      </c>
      <c r="C18" s="77">
        <f>IF('Meus serviços'!B17="","",IF('Meus serviços'!D17&gt;='Meus serviços'!E17,'Meus serviços'!D17,'Meus serviços'!E17))</f>
        <v/>
      </c>
      <c r="D18" s="6" t="n"/>
    </row>
    <row r="19" ht="24" customHeight="1">
      <c r="A19" s="6" t="n"/>
      <c r="B19" s="76">
        <f>IF('Meus serviços'!B18="","",'Meus serviços'!A18)</f>
        <v/>
      </c>
      <c r="C19" s="77">
        <f>IF('Meus serviços'!B18="","",IF('Meus serviços'!D18&gt;='Meus serviços'!E18,'Meus serviços'!D18,'Meus serviços'!E18))</f>
        <v/>
      </c>
      <c r="D19" s="6" t="n"/>
    </row>
    <row r="20" ht="24" customHeight="1">
      <c r="A20" s="6" t="n"/>
      <c r="B20" s="76">
        <f>IF('Meus serviços'!B19="","",'Meus serviços'!A19)</f>
        <v/>
      </c>
      <c r="C20" s="77">
        <f>IF('Meus serviços'!B19="","",IF('Meus serviços'!D19&gt;='Meus serviços'!E19,'Meus serviços'!D19,'Meus serviços'!E19))</f>
        <v/>
      </c>
      <c r="D20" s="6" t="n"/>
    </row>
    <row r="21" ht="24" customHeight="1">
      <c r="A21" s="6" t="n"/>
      <c r="B21" s="76">
        <f>IF('Meus serviços'!B20="","",'Meus serviços'!A20)</f>
        <v/>
      </c>
      <c r="C21" s="77">
        <f>IF('Meus serviços'!B20="","",IF('Meus serviços'!D20&gt;='Meus serviços'!E20,'Meus serviços'!D20,'Meus serviços'!E20))</f>
        <v/>
      </c>
      <c r="D21" s="6" t="n"/>
    </row>
    <row r="22" ht="24" customHeight="1">
      <c r="A22" s="6" t="n"/>
      <c r="B22" s="76">
        <f>IF('Meus serviços'!B21="","",'Meus serviços'!A21)</f>
        <v/>
      </c>
      <c r="C22" s="77">
        <f>IF('Meus serviços'!B21="","",IF('Meus serviços'!D21&gt;='Meus serviços'!E21,'Meus serviços'!D21,'Meus serviços'!E21))</f>
        <v/>
      </c>
      <c r="D22" s="6" t="n"/>
    </row>
    <row r="23" ht="24" customHeight="1">
      <c r="A23" s="6" t="n"/>
      <c r="B23" s="76">
        <f>IF('Meus serviços'!B22="","",'Meus serviços'!A22)</f>
        <v/>
      </c>
      <c r="C23" s="77">
        <f>IF('Meus serviços'!B22="","",IF('Meus serviços'!D22&gt;='Meus serviços'!E22,'Meus serviços'!D22,'Meus serviços'!E22))</f>
        <v/>
      </c>
      <c r="D23" s="6" t="n"/>
    </row>
    <row r="24" ht="24" customHeight="1">
      <c r="A24" s="6" t="n"/>
      <c r="B24" s="76">
        <f>IF('Meus serviços'!B23="","",'Meus serviços'!A23)</f>
        <v/>
      </c>
      <c r="C24" s="77">
        <f>IF('Meus serviços'!B23="","",IF('Meus serviços'!D23&gt;='Meus serviços'!E23,'Meus serviços'!D23,'Meus serviços'!E23))</f>
        <v/>
      </c>
      <c r="D24" s="6" t="n"/>
    </row>
    <row r="25" ht="24" customHeight="1">
      <c r="A25" s="6" t="n"/>
      <c r="B25" s="76">
        <f>IF('Meus serviços'!B24="","",'Meus serviços'!A24)</f>
        <v/>
      </c>
      <c r="C25" s="77">
        <f>IF('Meus serviços'!B24="","",IF('Meus serviços'!D24&gt;='Meus serviços'!E24,'Meus serviços'!D24,'Meus serviços'!E24))</f>
        <v/>
      </c>
      <c r="D25" s="6" t="n"/>
    </row>
    <row r="26" ht="24" customHeight="1">
      <c r="A26" s="6" t="n"/>
      <c r="B26" s="76">
        <f>IF('Meus serviços'!B25="","",'Meus serviços'!A25)</f>
        <v/>
      </c>
      <c r="C26" s="77">
        <f>IF('Meus serviços'!B25="","",IF('Meus serviços'!D25&gt;='Meus serviços'!E25,'Meus serviços'!D25,'Meus serviços'!E25))</f>
        <v/>
      </c>
      <c r="D26" s="6" t="n"/>
    </row>
    <row r="27" ht="24" customHeight="1">
      <c r="A27" s="6" t="n"/>
      <c r="B27" s="76">
        <f>IF('Meus serviços'!B26="","",'Meus serviços'!A26)</f>
        <v/>
      </c>
      <c r="C27" s="77">
        <f>IF('Meus serviços'!B26="","",IF('Meus serviços'!D26&gt;='Meus serviços'!E26,'Meus serviços'!D26,'Meus serviços'!E26))</f>
        <v/>
      </c>
      <c r="D27" s="6" t="n"/>
    </row>
    <row r="28" ht="24" customHeight="1">
      <c r="A28" s="6" t="n"/>
      <c r="B28" s="76">
        <f>IF('Meus serviços'!B27="","",'Meus serviços'!A27)</f>
        <v/>
      </c>
      <c r="C28" s="77">
        <f>IF('Meus serviços'!B27="","",IF('Meus serviços'!D27&gt;='Meus serviços'!E27,'Meus serviços'!D27,'Meus serviços'!E27))</f>
        <v/>
      </c>
      <c r="D28" s="6" t="n"/>
    </row>
    <row r="29" ht="24" customHeight="1">
      <c r="A29" s="6" t="n"/>
      <c r="B29" s="76">
        <f>IF('Meus serviços'!B28="","",'Meus serviços'!A28)</f>
        <v/>
      </c>
      <c r="C29" s="77">
        <f>IF('Meus serviços'!B28="","",IF('Meus serviços'!D28&gt;='Meus serviços'!E28,'Meus serviços'!D28,'Meus serviços'!E28))</f>
        <v/>
      </c>
      <c r="D29" s="6" t="n"/>
    </row>
    <row r="30" ht="24" customHeight="1">
      <c r="A30" s="6" t="n"/>
      <c r="B30" s="76">
        <f>IF('Meus serviços'!B29="","",'Meus serviços'!A29)</f>
        <v/>
      </c>
      <c r="C30" s="77">
        <f>IF('Meus serviços'!B29="","",IF('Meus serviços'!D29&gt;='Meus serviços'!E29,'Meus serviços'!D29,'Meus serviços'!E29))</f>
        <v/>
      </c>
      <c r="D30" s="6" t="n"/>
    </row>
    <row r="31">
      <c r="A31" s="6" t="n"/>
      <c r="B31" s="6" t="n"/>
      <c r="C31" s="6" t="n"/>
      <c r="D31" s="6" t="n"/>
    </row>
    <row r="32">
      <c r="A32" s="6" t="n"/>
      <c r="B32" s="26" t="inlineStr">
        <is>
          <t>Kit Preço Certo  ·  kitprecocerto.com.br</t>
        </is>
      </c>
      <c r="C32" s="27" t="n"/>
      <c r="D32" s="6" t="n"/>
    </row>
    <row r="33" ht="26" customHeight="1">
      <c r="A33" s="6" t="n"/>
      <c r="B33" s="78" t="inlineStr">
        <is>
          <t>A tabela usa o maior valor entre o que você cobra hoje e o preço sugerido. Tire um print e poste.</t>
        </is>
      </c>
      <c r="C33" s="6" t="n"/>
      <c r="D33" s="6" t="n"/>
    </row>
    <row r="34">
      <c r="A34" s="6" t="n"/>
      <c r="B34" s="6" t="n"/>
      <c r="C34" s="6" t="n"/>
      <c r="D34" s="6" t="n"/>
    </row>
  </sheetData>
  <mergeCells count="5">
    <mergeCell ref="A1:D1"/>
    <mergeCell ref="B33:C33"/>
    <mergeCell ref="B3:C3"/>
    <mergeCell ref="B32:C32"/>
    <mergeCell ref="A2:D2"/>
  </mergeCells>
  <conditionalFormatting sqref="B6:C30">
    <cfRule type="expression" priority="1" dxfId="3">
      <formula>$B6&lt;&gt;""</formula>
    </cfRule>
  </conditionalFormatting>
  <pageMargins left="0.75" right="0.75" top="1" bottom="1" header="0.5" footer="0.5"/>
  <pageSetup orientation="landscape" fitToHeight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 Preço Certo</dc:creator>
  <dc:title xmlns:dc="http://purl.org/dc/elements/1.1/">Calculadora de Preço para Serviços</dc:title>
  <dcterms:created xmlns:dcterms="http://purl.org/dc/terms/" xmlns:xsi="http://www.w3.org/2001/XMLSchema-instance" xsi:type="dcterms:W3CDTF">2026-10-24T11:23:42Z</dcterms:created>
  <dcterms:modified xmlns:dcterms="http://purl.org/dc/terms/" xmlns:xsi="http://www.w3.org/2001/XMLSchema-instance" xsi:type="dcterms:W3CDTF">2026-10-24T11:23:42Z</dcterms:modified>
</cp:coreProperties>
</file>