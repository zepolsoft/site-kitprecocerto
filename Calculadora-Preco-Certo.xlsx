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<sst xmlns="http://schemas.openxmlformats.org/spreadsheetml/2006/main" count="104" uniqueCount="100">
  <si>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</si>
  <si>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quem vende serviços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</si>
  <si>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</si>
  <si>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</si>
  <si>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</si>
  <si>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</si>
  <si>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</si>
  <si>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</si>
  <si>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</si>
  <si>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</si>
  <si>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</si>
  <si>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</si>
  <si>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</si>
  <si>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</si>
  <si>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</si>
  <si>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</si>
  <si>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</si>
  <si>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</si>
  <si>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</si>
  <si>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</si>
  <si>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</si>
  <si>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</si>
  <si>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</si>
  <si>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</si>
  <si>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</si>
  <si>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</si>
  <si>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</si>
  <si>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</si>
  <si>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</si>
  <si>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</si>
  <si>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</si>
  <si>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</si>
  <si>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</si>
  <si>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</si>
  <si>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</si>
  <si>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</si>
  <si>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</si>
  <si>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</si>
  <si>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</si>
  <si>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</si>
  <si>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</si>
  <si>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</si>
  <si>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</si>
  <si>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</si>
  <si>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</si>
  <si>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</si>
  <si>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</si>
  <si>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</si>
  <si>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</si>
  <si>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</si>
  <si>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</si>
  <si>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</si>
  <si>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</si>
  <si>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</si>
  <si>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</si>
  <si>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</si>
  <si>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</si>
  <si>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</si>
  <si>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</si>
  <si>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</si>
  <si>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</si>
  <si>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</si>
  <si>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Preencha as células amarelas (A a D). O PREÇO SUGERIDO aparece logo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</si>
  <si>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</si>
  <si>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</si>
  <si>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</si>
  <si>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</si>
  <si>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</si>
  <si>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</si>
  <si>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</si>
  <si>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</si>
  <si>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</si>
  <si>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Corte feminino</t>
  </si>
  <si>
    <t xml:space="preserve">Escova</t>
  </si>
  <si>
    <t xml:space="preserve">Manicure (mão)</t>
  </si>
  <si>
    <t xml:space="preserve">Design de sobrancelha</t>
  </si>
  <si>
    <t xml:space="preserve">Limpeza de pele</t>
  </si>
  <si>
    <t xml:space="preserve">Massagem relaxante</t>
  </si>
  <si>
    <t xml:space="preserve">Extensão de cílios</t>
  </si>
  <si>
    <t xml:space="preserve">Depilação (perna)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</si>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</sst>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8"/>
      <color rgb="FFFFFFFF"/>
      <name val="Arial Rounded MT Bold"/>
      <family val="0"/>
      <charset val="1"/>
    </font>
    <font>
      <b val="true"/>
      <sz val="13"/>
      <color rgb="FFF6D27A"/>
      <name val="Arial"/>
      <family val="0"/>
      <charset val="1"/>
    </font>
    <font>
      <i val="true"/>
      <sz val="11"/>
      <color rgb="FFFFD3E8"/>
      <name val="Arial"/>
      <family val="0"/>
      <charset val="1"/>
    </font>
    <font>
      <sz val="18"/>
      <color rgb="FF3A0A26"/>
      <name val="Arial Rounded MT Bold"/>
      <family val="0"/>
      <charset val="1"/>
    </font>
    <font>
      <sz val="22"/>
      <color rgb="FFFFFFFF"/>
      <name val="Arial Rounded MT Bold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sz val="14"/>
      <color rgb="FF3A0A26"/>
      <name val="Arial Rounded MT Bold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E0B84C"/>
      <name val="Arial"/>
      <family val="0"/>
      <charset val="1"/>
    </font>
    <font>
      <sz val="20"/>
      <color rgb="FFFFFFFF"/>
      <name val="Arial Rounded MT Bold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sz val="18"/>
      <color rgb="FFC2185B"/>
      <name val="Arial Rounded MT Bold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sz val="26"/>
      <color rgb="FFC2185B"/>
      <name val="Arial Rounded MT Bold"/>
      <family val="0"/>
      <charset val="1"/>
    </font>
    <font>
      <sz val="26"/>
      <color rgb="FFB00040"/>
      <name val="Arial Rounded MT Bold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5A1236"/>
        <bgColor rgb="FF3A0A26"/>
      </patternFill>
    </fill>
    <fill>
      <patternFill patternType="solid">
        <fgColor rgb="FFFF4FA3"/>
        <bgColor rgb="FFE91E78"/>
      </patternFill>
    </fill>
    <fill>
      <patternFill patternType="solid">
        <fgColor rgb="FFFFFAF7"/>
        <bgColor rgb="FFFFFFFF"/>
      </patternFill>
    </fill>
    <fill>
      <patternFill patternType="solid">
        <fgColor rgb="FFE91E78"/>
        <bgColor rgb="FFC2185B"/>
      </patternFill>
    </fill>
    <fill>
      <patternFill patternType="solid">
        <fgColor rgb="FFFFFFFF"/>
        <bgColor rgb="FFFFFAF7"/>
      </patternFill>
    </fill>
    <fill>
      <patternFill patternType="solid">
        <fgColor rgb="FFFBE7A6"/>
        <bgColor rgb="FFFFF3C4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  <fill>
      <patternFill patternType="solid">
        <fgColor rgb="FFE0B84C"/>
        <bgColor rgb="FFF6D27A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E0B84C"/>
      </left>
      <right style="thin">
        <color rgb="FFE0B84C"/>
      </right>
      <top style="thin">
        <color rgb="FFE0B84C"/>
      </top>
      <bottom style="thin">
        <color rgb="FFE0B84C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E0B84C"/>
      </top>
      <bottom/>
      <diagonal/>
    </border>
    <border diagonalUp="false" diagonalDown="false">
      <left style="medium">
        <color rgb="FFE0B84C"/>
      </left>
      <right style="medium">
        <color rgb="FFE0B84C"/>
      </right>
      <top style="medium">
        <color rgb="FFE0B84C"/>
      </top>
      <bottom style="medium">
        <color rgb="FFE0B84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E0B84C"/>
      </left>
      <right style="hair">
        <color rgb="FFE0B84C"/>
      </right>
      <top style="hair">
        <color rgb="FFE0B84C"/>
      </top>
      <bottom style="hair">
        <color rgb="FFE0B84C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E0B84C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E0B84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1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7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7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7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6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1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1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1CC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5A1236"/>
      <rgbColor rgb="FFFF4FA3"/>
      <rgbColor rgb="FF0066CC"/>
      <rgbColor rgb="FFD9D9D9"/>
      <rgbColor rgb="FF000080"/>
      <rgbColor rgb="FFFF00FF"/>
      <rgbColor rgb="FFFCE9F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BE7A6"/>
      <rgbColor rgb="FFFDE0E8"/>
      <rgbColor rgb="FFF4B6CC"/>
      <rgbColor rgb="FFFFD3E8"/>
      <rgbColor rgb="FFF6D27A"/>
      <rgbColor rgb="FF3366FF"/>
      <rgbColor rgb="FF33CCCC"/>
      <rgbColor rgb="FF99CC00"/>
      <rgbColor rgb="FFE0B84C"/>
      <rgbColor rgb="FFFF9900"/>
      <rgbColor rgb="FFFF6600"/>
      <rgbColor rgb="FF7A5266"/>
      <rgbColor rgb="FF969696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e0b84c"/>
            </a:solidFill>
            <a:ln w="9360">
              <a:solidFill>
                <a:srgbClr val="e0b84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80</c:v>
                </c:pt>
                <c:pt idx="1">
                  <c:v>35</c:v>
                </c:pt>
                <c:pt idx="2">
                  <c:v>30</c:v>
                </c:pt>
                <c:pt idx="3">
                  <c:v>40</c:v>
                </c:pt>
                <c:pt idx="4">
                  <c:v>120</c:v>
                </c:pt>
                <c:pt idx="5">
                  <c:v>100</c:v>
                </c:pt>
                <c:pt idx="6">
                  <c:v>180</c:v>
                </c:pt>
                <c:pt idx="7">
                  <c:v>55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49</c:v>
                </c:pt>
                <c:pt idx="1">
                  <c:v>39</c:v>
                </c:pt>
                <c:pt idx="2">
                  <c:v>36</c:v>
                </c:pt>
                <c:pt idx="3">
                  <c:v>25</c:v>
                </c:pt>
                <c:pt idx="4">
                  <c:v>70</c:v>
                </c:pt>
                <c:pt idx="5">
                  <c:v>51</c:v>
                </c:pt>
                <c:pt idx="6">
                  <c:v>124</c:v>
                </c:pt>
                <c:pt idx="7">
                  <c:v>37</c:v>
                </c:pt>
              </c:numCache>
            </c:numRef>
          </c:val>
        </c:ser>
        <c:gapWidth val="60"/>
        <c:overlap val="0"/>
        <c:axId val="27821349"/>
        <c:axId val="24487735"/>
      </c:barChart>
      <c:catAx>
        <c:axId val="278213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87735"/>
        <c:crosses val="autoZero"/>
        <c:auto val="1"/>
        <c:lblAlgn val="ctr"/>
        <c:lblOffset val="100"/>
        <c:noMultiLvlLbl val="0"/>
      </c:catAx>
      <c:valAx>
        <c:axId val="24487735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213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84C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5" t="s">
        <v>67</v>
      </c>
      <c r="F4" s="35" t="s">
        <v>68</v>
      </c>
      <c r="G4" s="36" t="s">
        <v>69</v>
      </c>
      <c r="H4" s="36" t="s">
        <v>70</v>
      </c>
      <c r="I4" s="36" t="s">
        <v>71</v>
      </c>
      <c r="J4" s="6"/>
    </row>
    <row r="5" customFormat="false" ht="21" hidden="false" customHeight="true" outlineLevel="0" collapsed="false">
      <c r="A5" s="37" t="s">
        <v>72</v>
      </c>
      <c r="B5" s="38" t="n">
        <v>60</v>
      </c>
      <c r="C5" s="39" t="n">
        <v>6</v>
      </c>
      <c r="D5" s="39" t="n">
        <v>80</v>
      </c>
      <c r="E5" s="40" t="n">
        <f aca="false">IF(B5="","",ROUNDUP(H5/(1-'Meu custo por hora'!$B$28-'Meu custo por hora'!$B$29),0))</f>
        <v>49</v>
      </c>
      <c r="F5" s="41" t="str">
        <f aca="false">IF(OR(B5="",D5=""),"",IF(D5&gt;=E5,"OK: cobre custos e margem",IF(I5&gt;=0,"Atenção: pouca folga","PREJUÍZO: abaixo do custo")))</f>
        <v>OK: cobre custos e margem</v>
      </c>
      <c r="G5" s="42" t="n">
        <f aca="false">IF(B5="","",B5/60*'Meu custo por hora'!$B$25)</f>
        <v>35.6191152957897</v>
      </c>
      <c r="H5" s="42" t="n">
        <f aca="false">IF(B5="","",G5+C5)</f>
        <v>41.6191152957897</v>
      </c>
      <c r="I5" s="43" t="n">
        <f aca="false">IF(OR(B5="",D5=""),"",D5*(1-'Meu custo por hora'!$B$28)-H5)</f>
        <v>35.1808847042103</v>
      </c>
      <c r="J5" s="6"/>
    </row>
    <row r="6" customFormat="false" ht="21" hidden="false" customHeight="true" outlineLevel="0" collapsed="false">
      <c r="A6" s="37" t="s">
        <v>73</v>
      </c>
      <c r="B6" s="38" t="n">
        <v>45</v>
      </c>
      <c r="C6" s="39" t="n">
        <v>6</v>
      </c>
      <c r="D6" s="39" t="n">
        <v>35</v>
      </c>
      <c r="E6" s="40" t="n">
        <f aca="false">IF(B6="","",ROUNDUP(H6/(1-'Meu custo por hora'!$B$28-'Meu custo por hora'!$B$29),0))</f>
        <v>39</v>
      </c>
      <c r="F6" s="41" t="str">
        <f aca="false">IF(OR(B6="",D6=""),"",IF(D6&gt;=E6,"OK: cobre custos e margem",IF(I6&gt;=0,"Atenção: pouca folga","PREJUÍZO: abaixo do custo")))</f>
        <v>Atenção: pouca folga</v>
      </c>
      <c r="G6" s="42" t="n">
        <f aca="false">IF(B6="","",B6/60*'Meu custo por hora'!$B$25)</f>
        <v>26.7143364718422</v>
      </c>
      <c r="H6" s="42" t="n">
        <f aca="false">IF(B6="","",G6+C6)</f>
        <v>32.7143364718422</v>
      </c>
      <c r="I6" s="43" t="n">
        <f aca="false">IF(OR(B6="",D6=""),"",D6*(1-'Meu custo por hora'!$B$28)-H6)</f>
        <v>0.885663528157757</v>
      </c>
      <c r="J6" s="6"/>
    </row>
    <row r="7" customFormat="false" ht="21" hidden="false" customHeight="true" outlineLevel="0" collapsed="false">
      <c r="A7" s="37" t="s">
        <v>74</v>
      </c>
      <c r="B7" s="38" t="n">
        <v>45</v>
      </c>
      <c r="C7" s="39" t="n">
        <v>4</v>
      </c>
      <c r="D7" s="39" t="n">
        <v>30</v>
      </c>
      <c r="E7" s="40" t="n">
        <f aca="false">IF(B7="","",ROUNDUP(H7/(1-'Meu custo por hora'!$B$28-'Meu custo por hora'!$B$29),0))</f>
        <v>36</v>
      </c>
      <c r="F7" s="41" t="str">
        <f aca="false">IF(OR(B7="",D7=""),"",IF(D7&gt;=E7,"OK: cobre custos e margem",IF(I7&gt;=0,"Atenção: pouca folga","PREJUÍZO: abaixo do custo")))</f>
        <v>PREJUÍZO: abaixo do custo</v>
      </c>
      <c r="G7" s="42" t="n">
        <f aca="false">IF(B7="","",B7/60*'Meu custo por hora'!$B$25)</f>
        <v>26.7143364718422</v>
      </c>
      <c r="H7" s="42" t="n">
        <f aca="false">IF(B7="","",G7+C7)</f>
        <v>30.7143364718422</v>
      </c>
      <c r="I7" s="43" t="n">
        <f aca="false">IF(OR(B7="",D7=""),"",D7*(1-'Meu custo por hora'!$B$28)-H7)</f>
        <v>-1.91433647184225</v>
      </c>
      <c r="J7" s="6"/>
    </row>
    <row r="8" customFormat="false" ht="21" hidden="false" customHeight="true" outlineLevel="0" collapsed="false">
      <c r="A8" s="37" t="s">
        <v>75</v>
      </c>
      <c r="B8" s="38" t="n">
        <v>30</v>
      </c>
      <c r="C8" s="39" t="n">
        <v>3</v>
      </c>
      <c r="D8" s="39" t="n">
        <v>40</v>
      </c>
      <c r="E8" s="40" t="n">
        <f aca="false">IF(B8="","",ROUNDUP(H8/(1-'Meu custo por hora'!$B$28-'Meu custo por hora'!$B$29),0))</f>
        <v>25</v>
      </c>
      <c r="F8" s="41" t="str">
        <f aca="false">IF(OR(B8="",D8=""),"",IF(D8&gt;=E8,"OK: cobre custos e margem",IF(I8&gt;=0,"Atenção: pouca folga","PREJUÍZO: abaixo do custo")))</f>
        <v>OK: cobre custos e margem</v>
      </c>
      <c r="G8" s="42" t="n">
        <f aca="false">IF(B8="","",B8/60*'Meu custo por hora'!$B$25)</f>
        <v>17.8095576478948</v>
      </c>
      <c r="H8" s="42" t="n">
        <f aca="false">IF(B8="","",G8+C8)</f>
        <v>20.8095576478948</v>
      </c>
      <c r="I8" s="43" t="n">
        <f aca="false">IF(OR(B8="",D8=""),"",D8*(1-'Meu custo por hora'!$B$28)-H8)</f>
        <v>17.5904423521052</v>
      </c>
      <c r="J8" s="6"/>
    </row>
    <row r="9" customFormat="false" ht="21" hidden="false" customHeight="true" outlineLevel="0" collapsed="false">
      <c r="A9" s="37" t="s">
        <v>76</v>
      </c>
      <c r="B9" s="38" t="n">
        <v>75</v>
      </c>
      <c r="C9" s="39" t="n">
        <v>15</v>
      </c>
      <c r="D9" s="39" t="n">
        <v>120</v>
      </c>
      <c r="E9" s="40" t="n">
        <f aca="false">IF(B9="","",ROUNDUP(H9/(1-'Meu custo por hora'!$B$28-'Meu custo por hora'!$B$29),0))</f>
        <v>70</v>
      </c>
      <c r="F9" s="41" t="str">
        <f aca="false">IF(OR(B9="",D9=""),"",IF(D9&gt;=E9,"OK: cobre custos e margem",IF(I9&gt;=0,"Atenção: pouca folga","PREJUÍZO: abaixo do custo")))</f>
        <v>OK: cobre custos e margem</v>
      </c>
      <c r="G9" s="42" t="n">
        <f aca="false">IF(B9="","",B9/60*'Meu custo por hora'!$B$25)</f>
        <v>44.5238941197371</v>
      </c>
      <c r="H9" s="42" t="n">
        <f aca="false">IF(B9="","",G9+C9)</f>
        <v>59.5238941197371</v>
      </c>
      <c r="I9" s="43" t="n">
        <f aca="false">IF(OR(B9="",D9=""),"",D9*(1-'Meu custo por hora'!$B$28)-H9)</f>
        <v>55.6761058802629</v>
      </c>
      <c r="J9" s="6"/>
    </row>
    <row r="10" customFormat="false" ht="21" hidden="false" customHeight="true" outlineLevel="0" collapsed="false">
      <c r="A10" s="37" t="s">
        <v>77</v>
      </c>
      <c r="B10" s="38" t="n">
        <v>60</v>
      </c>
      <c r="C10" s="39" t="n">
        <v>8</v>
      </c>
      <c r="D10" s="39" t="n">
        <v>100</v>
      </c>
      <c r="E10" s="40" t="n">
        <f aca="false">IF(B10="","",ROUNDUP(H10/(1-'Meu custo por hora'!$B$28-'Meu custo por hora'!$B$29),0))</f>
        <v>51</v>
      </c>
      <c r="F10" s="41" t="str">
        <f aca="false">IF(OR(B10="",D10=""),"",IF(D10&gt;=E10,"OK: cobre custos e margem",IF(I10&gt;=0,"Atenção: pouca folga","PREJUÍZO: abaixo do custo")))</f>
        <v>OK: cobre custos e margem</v>
      </c>
      <c r="G10" s="42" t="n">
        <f aca="false">IF(B10="","",B10/60*'Meu custo por hora'!$B$25)</f>
        <v>35.6191152957897</v>
      </c>
      <c r="H10" s="42" t="n">
        <f aca="false">IF(B10="","",G10+C10)</f>
        <v>43.6191152957897</v>
      </c>
      <c r="I10" s="43" t="n">
        <f aca="false">IF(OR(B10="",D10=""),"",D10*(1-'Meu custo por hora'!$B$28)-H10)</f>
        <v>52.3808847042103</v>
      </c>
      <c r="J10" s="6"/>
    </row>
    <row r="11" customFormat="false" ht="21" hidden="false" customHeight="true" outlineLevel="0" collapsed="false">
      <c r="A11" s="37" t="s">
        <v>78</v>
      </c>
      <c r="B11" s="38" t="n">
        <v>120</v>
      </c>
      <c r="C11" s="39" t="n">
        <v>35</v>
      </c>
      <c r="D11" s="39" t="n">
        <v>180</v>
      </c>
      <c r="E11" s="40" t="n">
        <f aca="false">IF(B11="","",ROUNDUP(H11/(1-'Meu custo por hora'!$B$28-'Meu custo por hora'!$B$29),0))</f>
        <v>124</v>
      </c>
      <c r="F11" s="41" t="str">
        <f aca="false">IF(OR(B11="",D11=""),"",IF(D11&gt;=E11,"OK: cobre custos e margem",IF(I11&gt;=0,"Atenção: pouca folga","PREJUÍZO: abaixo do custo")))</f>
        <v>OK: cobre custos e margem</v>
      </c>
      <c r="G11" s="42" t="n">
        <f aca="false">IF(B11="","",B11/60*'Meu custo por hora'!$B$25)</f>
        <v>71.2382305915793</v>
      </c>
      <c r="H11" s="42" t="n">
        <f aca="false">IF(B11="","",G11+C11)</f>
        <v>106.238230591579</v>
      </c>
      <c r="I11" s="43" t="n">
        <f aca="false">IF(OR(B11="",D11=""),"",D11*(1-'Meu custo por hora'!$B$28)-H11)</f>
        <v>66.5617694084207</v>
      </c>
      <c r="J11" s="6"/>
    </row>
    <row r="12" customFormat="false" ht="21" hidden="false" customHeight="true" outlineLevel="0" collapsed="false">
      <c r="A12" s="37" t="s">
        <v>79</v>
      </c>
      <c r="B12" s="38" t="n">
        <v>40</v>
      </c>
      <c r="C12" s="39" t="n">
        <v>8</v>
      </c>
      <c r="D12" s="39" t="n">
        <v>55</v>
      </c>
      <c r="E12" s="40" t="n">
        <f aca="false">IF(B12="","",ROUNDUP(H12/(1-'Meu custo por hora'!$B$28-'Meu custo por hora'!$B$29),0))</f>
        <v>37</v>
      </c>
      <c r="F12" s="41" t="str">
        <f aca="false">IF(OR(B12="",D12=""),"",IF(D12&gt;=E12,"OK: cobre custos e margem",IF(I12&gt;=0,"Atenção: pouca folga","PREJUÍZO: abaixo do custo")))</f>
        <v>OK: cobre custos e margem</v>
      </c>
      <c r="G12" s="42" t="n">
        <f aca="false">IF(B12="","",B12/60*'Meu custo por hora'!$B$25)</f>
        <v>23.7460768638598</v>
      </c>
      <c r="H12" s="42" t="n">
        <f aca="false">IF(B12="","",G12+C12)</f>
        <v>31.7460768638598</v>
      </c>
      <c r="I12" s="43" t="n">
        <f aca="false">IF(OR(B12="",D12=""),"",D12*(1-'Meu custo por hora'!$B$28)-H12)</f>
        <v>21.0539231361402</v>
      </c>
      <c r="J12" s="6"/>
    </row>
    <row r="13" customFormat="false" ht="21" hidden="false" customHeight="true" outlineLevel="0" collapsed="false">
      <c r="A13" s="37"/>
      <c r="B13" s="38"/>
      <c r="C13" s="39"/>
      <c r="D13" s="39"/>
      <c r="E13" s="40" t="str">
        <f aca="false">IF(B13="","",ROUNDUP(H13/(1-'Meu custo por hora'!$B$28-'Meu custo por hora'!$B$29),0))</f>
        <v/>
      </c>
      <c r="F13" s="41" t="str">
        <f aca="false">IF(OR(B13="",D13=""),"",IF(D13&gt;=E13,"OK: cobre custos e margem",IF(I13&gt;=0,"Atenção: pouca folga","PREJUÍZO: abaixo do custo")))</f>
        <v/>
      </c>
      <c r="G13" s="42" t="str">
        <f aca="false">IF(B13="","",B13/60*'Meu custo por hora'!$B$25)</f>
        <v/>
      </c>
      <c r="H13" s="42" t="str">
        <f aca="false">IF(B13="","",G13+C13)</f>
        <v/>
      </c>
      <c r="I13" s="43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7"/>
      <c r="B14" s="38"/>
      <c r="C14" s="39"/>
      <c r="D14" s="39"/>
      <c r="E14" s="40" t="str">
        <f aca="false">IF(B14="","",ROUNDUP(H14/(1-'Meu custo por hora'!$B$28-'Meu custo por hora'!$B$29),0))</f>
        <v/>
      </c>
      <c r="F14" s="41" t="str">
        <f aca="false">IF(OR(B14="",D14=""),"",IF(D14&gt;=E14,"OK: cobre custos e margem",IF(I14&gt;=0,"Atenção: pouca folga","PREJUÍZO: abaixo do custo")))</f>
        <v/>
      </c>
      <c r="G14" s="42" t="str">
        <f aca="false">IF(B14="","",B14/60*'Meu custo por hora'!$B$25)</f>
        <v/>
      </c>
      <c r="H14" s="42" t="str">
        <f aca="false">IF(B14="","",G14+C14)</f>
        <v/>
      </c>
      <c r="I14" s="43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7"/>
      <c r="B15" s="38"/>
      <c r="C15" s="39"/>
      <c r="D15" s="39"/>
      <c r="E15" s="40" t="str">
        <f aca="false">IF(B15="","",ROUNDUP(H15/(1-'Meu custo por hora'!$B$28-'Meu custo por hora'!$B$29),0))</f>
        <v/>
      </c>
      <c r="F15" s="41" t="str">
        <f aca="false">IF(OR(B15="",D15=""),"",IF(D15&gt;=E15,"OK: cobre custos e margem",IF(I15&gt;=0,"Atenção: pouca folga","PREJUÍZO: abaixo do custo")))</f>
        <v/>
      </c>
      <c r="G15" s="42" t="str">
        <f aca="false">IF(B15="","",B15/60*'Meu custo por hora'!$B$25)</f>
        <v/>
      </c>
      <c r="H15" s="42" t="str">
        <f aca="false">IF(B15="","",G15+C15)</f>
        <v/>
      </c>
      <c r="I15" s="43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7"/>
      <c r="B16" s="38"/>
      <c r="C16" s="39"/>
      <c r="D16" s="39"/>
      <c r="E16" s="40" t="str">
        <f aca="false">IF(B16="","",ROUNDUP(H16/(1-'Meu custo por hora'!$B$28-'Meu custo por hora'!$B$29),0))</f>
        <v/>
      </c>
      <c r="F16" s="41" t="str">
        <f aca="false">IF(OR(B16="",D16=""),"",IF(D16&gt;=E16,"OK: cobre custos e margem",IF(I16&gt;=0,"Atenção: pouca folga","PREJUÍZO: abaixo do custo")))</f>
        <v/>
      </c>
      <c r="G16" s="42" t="str">
        <f aca="false">IF(B16="","",B16/60*'Meu custo por hora'!$B$25)</f>
        <v/>
      </c>
      <c r="H16" s="42" t="str">
        <f aca="false">IF(B16="","",G16+C16)</f>
        <v/>
      </c>
      <c r="I16" s="43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7"/>
      <c r="B17" s="38"/>
      <c r="C17" s="39"/>
      <c r="D17" s="39"/>
      <c r="E17" s="40" t="str">
        <f aca="false">IF(B17="","",ROUNDUP(H17/(1-'Meu custo por hora'!$B$28-'Meu custo por hora'!$B$29),0))</f>
        <v/>
      </c>
      <c r="F17" s="41" t="str">
        <f aca="false">IF(OR(B17="",D17=""),"",IF(D17&gt;=E17,"OK: cobre custos e margem",IF(I17&gt;=0,"Atenção: pouca folga","PREJUÍZO: abaixo do custo")))</f>
        <v/>
      </c>
      <c r="G17" s="42" t="str">
        <f aca="false">IF(B17="","",B17/60*'Meu custo por hora'!$B$25)</f>
        <v/>
      </c>
      <c r="H17" s="42" t="str">
        <f aca="false">IF(B17="","",G17+C17)</f>
        <v/>
      </c>
      <c r="I17" s="43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7"/>
      <c r="B18" s="38"/>
      <c r="C18" s="39"/>
      <c r="D18" s="39"/>
      <c r="E18" s="40" t="str">
        <f aca="false">IF(B18="","",ROUNDUP(H18/(1-'Meu custo por hora'!$B$28-'Meu custo por hora'!$B$29),0))</f>
        <v/>
      </c>
      <c r="F18" s="41" t="str">
        <f aca="false">IF(OR(B18="",D18=""),"",IF(D18&gt;=E18,"OK: cobre custos e margem",IF(I18&gt;=0,"Atenção: pouca folga","PREJUÍZO: abaixo do custo")))</f>
        <v/>
      </c>
      <c r="G18" s="42" t="str">
        <f aca="false">IF(B18="","",B18/60*'Meu custo por hora'!$B$25)</f>
        <v/>
      </c>
      <c r="H18" s="42" t="str">
        <f aca="false">IF(B18="","",G18+C18)</f>
        <v/>
      </c>
      <c r="I18" s="43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7"/>
      <c r="B19" s="38"/>
      <c r="C19" s="39"/>
      <c r="D19" s="39"/>
      <c r="E19" s="40" t="str">
        <f aca="false">IF(B19="","",ROUNDUP(H19/(1-'Meu custo por hora'!$B$28-'Meu custo por hora'!$B$29),0))</f>
        <v/>
      </c>
      <c r="F19" s="41" t="str">
        <f aca="false">IF(OR(B19="",D19=""),"",IF(D19&gt;=E19,"OK: cobre custos e margem",IF(I19&gt;=0,"Atenção: pouca folga","PREJUÍZO: abaixo do custo")))</f>
        <v/>
      </c>
      <c r="G19" s="42" t="str">
        <f aca="false">IF(B19="","",B19/60*'Meu custo por hora'!$B$25)</f>
        <v/>
      </c>
      <c r="H19" s="42" t="str">
        <f aca="false">IF(B19="","",G19+C19)</f>
        <v/>
      </c>
      <c r="I19" s="43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7"/>
      <c r="B20" s="38"/>
      <c r="C20" s="39"/>
      <c r="D20" s="39"/>
      <c r="E20" s="40" t="str">
        <f aca="false">IF(B20="","",ROUNDUP(H20/(1-'Meu custo por hora'!$B$28-'Meu custo por hora'!$B$29),0))</f>
        <v/>
      </c>
      <c r="F20" s="41" t="str">
        <f aca="false">IF(OR(B20="",D20=""),"",IF(D20&gt;=E20,"OK: cobre custos e margem",IF(I20&gt;=0,"Atenção: pouca folga","PREJUÍZO: abaixo do custo")))</f>
        <v/>
      </c>
      <c r="G20" s="42" t="str">
        <f aca="false">IF(B20="","",B20/60*'Meu custo por hora'!$B$25)</f>
        <v/>
      </c>
      <c r="H20" s="42" t="str">
        <f aca="false">IF(B20="","",G20+C20)</f>
        <v/>
      </c>
      <c r="I20" s="43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7"/>
      <c r="B21" s="38"/>
      <c r="C21" s="39"/>
      <c r="D21" s="39"/>
      <c r="E21" s="40" t="str">
        <f aca="false">IF(B21="","",ROUNDUP(H21/(1-'Meu custo por hora'!$B$28-'Meu custo por hora'!$B$29),0))</f>
        <v/>
      </c>
      <c r="F21" s="41" t="str">
        <f aca="false">IF(OR(B21="",D21=""),"",IF(D21&gt;=E21,"OK: cobre custos e margem",IF(I21&gt;=0,"Atenção: pouca folga","PREJUÍZO: abaixo do custo")))</f>
        <v/>
      </c>
      <c r="G21" s="42" t="str">
        <f aca="false">IF(B21="","",B21/60*'Meu custo por hora'!$B$25)</f>
        <v/>
      </c>
      <c r="H21" s="42" t="str">
        <f aca="false">IF(B21="","",G21+C21)</f>
        <v/>
      </c>
      <c r="I21" s="43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7"/>
      <c r="B22" s="38"/>
      <c r="C22" s="39"/>
      <c r="D22" s="39"/>
      <c r="E22" s="40" t="str">
        <f aca="false">IF(B22="","",ROUNDUP(H22/(1-'Meu custo por hora'!$B$28-'Meu custo por hora'!$B$29),0))</f>
        <v/>
      </c>
      <c r="F22" s="41" t="str">
        <f aca="false">IF(OR(B22="",D22=""),"",IF(D22&gt;=E22,"OK: cobre custos e margem",IF(I22&gt;=0,"Atenção: pouca folga","PREJUÍZO: abaixo do custo")))</f>
        <v/>
      </c>
      <c r="G22" s="42" t="str">
        <f aca="false">IF(B22="","",B22/60*'Meu custo por hora'!$B$25)</f>
        <v/>
      </c>
      <c r="H22" s="42" t="str">
        <f aca="false">IF(B22="","",G22+C22)</f>
        <v/>
      </c>
      <c r="I22" s="43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7"/>
      <c r="B23" s="38"/>
      <c r="C23" s="39"/>
      <c r="D23" s="39"/>
      <c r="E23" s="40" t="str">
        <f aca="false">IF(B23="","",ROUNDUP(H23/(1-'Meu custo por hora'!$B$28-'Meu custo por hora'!$B$29),0))</f>
        <v/>
      </c>
      <c r="F23" s="41" t="str">
        <f aca="false">IF(OR(B23="",D23=""),"",IF(D23&gt;=E23,"OK: cobre custos e margem",IF(I23&gt;=0,"Atenção: pouca folga","PREJUÍZO: abaixo do custo")))</f>
        <v/>
      </c>
      <c r="G23" s="42" t="str">
        <f aca="false">IF(B23="","",B23/60*'Meu custo por hora'!$B$25)</f>
        <v/>
      </c>
      <c r="H23" s="42" t="str">
        <f aca="false">IF(B23="","",G23+C23)</f>
        <v/>
      </c>
      <c r="I23" s="43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7"/>
      <c r="B24" s="38"/>
      <c r="C24" s="39"/>
      <c r="D24" s="39"/>
      <c r="E24" s="40" t="str">
        <f aca="false">IF(B24="","",ROUNDUP(H24/(1-'Meu custo por hora'!$B$28-'Meu custo por hora'!$B$29),0))</f>
        <v/>
      </c>
      <c r="F24" s="41" t="str">
        <f aca="false">IF(OR(B24="",D24=""),"",IF(D24&gt;=E24,"OK: cobre custos e margem",IF(I24&gt;=0,"Atenção: pouca folga","PREJUÍZO: abaixo do custo")))</f>
        <v/>
      </c>
      <c r="G24" s="42" t="str">
        <f aca="false">IF(B24="","",B24/60*'Meu custo por hora'!$B$25)</f>
        <v/>
      </c>
      <c r="H24" s="42" t="str">
        <f aca="false">IF(B24="","",G24+C24)</f>
        <v/>
      </c>
      <c r="I24" s="43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7"/>
      <c r="B25" s="38"/>
      <c r="C25" s="39"/>
      <c r="D25" s="39"/>
      <c r="E25" s="40" t="str">
        <f aca="false">IF(B25="","",ROUNDUP(H25/(1-'Meu custo por hora'!$B$28-'Meu custo por hora'!$B$29),0))</f>
        <v/>
      </c>
      <c r="F25" s="41" t="str">
        <f aca="false">IF(OR(B25="",D25=""),"",IF(D25&gt;=E25,"OK: cobre custos e margem",IF(I25&gt;=0,"Atenção: pouca folga","PREJUÍZO: abaixo do custo")))</f>
        <v/>
      </c>
      <c r="G25" s="42" t="str">
        <f aca="false">IF(B25="","",B25/60*'Meu custo por hora'!$B$25)</f>
        <v/>
      </c>
      <c r="H25" s="42" t="str">
        <f aca="false">IF(B25="","",G25+C25)</f>
        <v/>
      </c>
      <c r="I25" s="43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7"/>
      <c r="B26" s="38"/>
      <c r="C26" s="39"/>
      <c r="D26" s="39"/>
      <c r="E26" s="40" t="str">
        <f aca="false">IF(B26="","",ROUNDUP(H26/(1-'Meu custo por hora'!$B$28-'Meu custo por hora'!$B$29),0))</f>
        <v/>
      </c>
      <c r="F26" s="41" t="str">
        <f aca="false">IF(OR(B26="",D26=""),"",IF(D26&gt;=E26,"OK: cobre custos e margem",IF(I26&gt;=0,"Atenção: pouca folga","PREJUÍZO: abaixo do custo")))</f>
        <v/>
      </c>
      <c r="G26" s="42" t="str">
        <f aca="false">IF(B26="","",B26/60*'Meu custo por hora'!$B$25)</f>
        <v/>
      </c>
      <c r="H26" s="42" t="str">
        <f aca="false">IF(B26="","",G26+C26)</f>
        <v/>
      </c>
      <c r="I26" s="43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7"/>
      <c r="B27" s="38"/>
      <c r="C27" s="39"/>
      <c r="D27" s="39"/>
      <c r="E27" s="40" t="str">
        <f aca="false">IF(B27="","",ROUNDUP(H27/(1-'Meu custo por hora'!$B$28-'Meu custo por hora'!$B$29),0))</f>
        <v/>
      </c>
      <c r="F27" s="41" t="str">
        <f aca="false">IF(OR(B27="",D27=""),"",IF(D27&gt;=E27,"OK: cobre custos e margem",IF(I27&gt;=0,"Atenção: pouca folga","PREJUÍZO: abaixo do custo")))</f>
        <v/>
      </c>
      <c r="G27" s="42" t="str">
        <f aca="false">IF(B27="","",B27/60*'Meu custo por hora'!$B$25)</f>
        <v/>
      </c>
      <c r="H27" s="42" t="str">
        <f aca="false">IF(B27="","",G27+C27)</f>
        <v/>
      </c>
      <c r="I27" s="43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7"/>
      <c r="B28" s="38"/>
      <c r="C28" s="39"/>
      <c r="D28" s="39"/>
      <c r="E28" s="40" t="str">
        <f aca="false">IF(B28="","",ROUNDUP(H28/(1-'Meu custo por hora'!$B$28-'Meu custo por hora'!$B$29),0))</f>
        <v/>
      </c>
      <c r="F28" s="41" t="str">
        <f aca="false">IF(OR(B28="",D28=""),"",IF(D28&gt;=E28,"OK: cobre custos e margem",IF(I28&gt;=0,"Atenção: pouca folga","PREJUÍZO: abaixo do custo")))</f>
        <v/>
      </c>
      <c r="G28" s="42" t="str">
        <f aca="false">IF(B28="","",B28/60*'Meu custo por hora'!$B$25)</f>
        <v/>
      </c>
      <c r="H28" s="42" t="str">
        <f aca="false">IF(B28="","",G28+C28)</f>
        <v/>
      </c>
      <c r="I28" s="43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7"/>
      <c r="B29" s="38"/>
      <c r="C29" s="39"/>
      <c r="D29" s="39"/>
      <c r="E29" s="40" t="str">
        <f aca="false">IF(B29="","",ROUNDUP(H29/(1-'Meu custo por hora'!$B$28-'Meu custo por hora'!$B$29),0))</f>
        <v/>
      </c>
      <c r="F29" s="41" t="str">
        <f aca="false">IF(OR(B29="",D29=""),"",IF(D29&gt;=E29,"OK: cobre custos e margem",IF(I29&gt;=0,"Atenção: pouca folga","PREJUÍZO: abaixo do custo")))</f>
        <v/>
      </c>
      <c r="G29" s="42" t="str">
        <f aca="false">IF(B29="","",B29/60*'Meu custo por hora'!$B$25)</f>
        <v/>
      </c>
      <c r="H29" s="42" t="str">
        <f aca="false">IF(B29="","",G29+C29)</f>
        <v/>
      </c>
      <c r="I29" s="43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4" t="s">
        <v>80</v>
      </c>
      <c r="B31" s="44"/>
      <c r="C31" s="44"/>
      <c r="D31" s="44"/>
      <c r="E31" s="44"/>
      <c r="F31" s="44"/>
      <c r="G31" s="44"/>
      <c r="H31" s="44"/>
      <c r="I31" s="44"/>
      <c r="J31" s="6"/>
    </row>
    <row r="32" customFormat="false" ht="15" hidden="false" customHeight="false" outlineLevel="0" collapsed="false">
      <c r="A32" s="44" t="s">
        <v>81</v>
      </c>
      <c r="B32" s="44"/>
      <c r="C32" s="44"/>
      <c r="D32" s="44"/>
      <c r="E32" s="44"/>
      <c r="F32" s="44"/>
      <c r="G32" s="44"/>
      <c r="H32" s="44"/>
      <c r="I32" s="44"/>
      <c r="J32" s="6"/>
    </row>
    <row r="33" customFormat="false" ht="15" hidden="false" customHeight="false" outlineLevel="0" collapsed="false">
      <c r="A33" s="44" t="s">
        <v>82</v>
      </c>
      <c r="B33" s="44"/>
      <c r="C33" s="44"/>
      <c r="D33" s="44"/>
      <c r="E33" s="44"/>
      <c r="F33" s="44"/>
      <c r="G33" s="44"/>
      <c r="H33" s="44"/>
      <c r="I33" s="44"/>
      <c r="J33" s="6"/>
    </row>
    <row r="34" customFormat="false" ht="15" hidden="false" customHeight="false" outlineLevel="0" collapsed="false">
      <c r="A34" s="44" t="s">
        <v>83</v>
      </c>
      <c r="B34" s="44"/>
      <c r="C34" s="44"/>
      <c r="D34" s="44"/>
      <c r="E34" s="44"/>
      <c r="F34" s="44"/>
      <c r="G34" s="44"/>
      <c r="H34" s="44"/>
      <c r="I34" s="44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5" t="s">
        <v>86</v>
      </c>
      <c r="C5" s="45"/>
      <c r="D5" s="45"/>
      <c r="E5" s="45" t="s">
        <v>87</v>
      </c>
      <c r="F5" s="45"/>
      <c r="G5" s="45"/>
      <c r="H5" s="45" t="s">
        <v>88</v>
      </c>
      <c r="I5" s="45"/>
      <c r="J5" s="45"/>
      <c r="K5" s="45" t="s">
        <v>89</v>
      </c>
      <c r="L5" s="45"/>
      <c r="M5" s="45"/>
      <c r="N5" s="6"/>
    </row>
    <row r="6" customFormat="false" ht="45.75" hidden="false" customHeight="true" outlineLevel="0" collapsed="false">
      <c r="A6" s="6"/>
      <c r="B6" s="46" t="n">
        <f aca="false">'Meu custo por hora'!B25</f>
        <v>35.6191152957897</v>
      </c>
      <c r="C6" s="46"/>
      <c r="D6" s="46"/>
      <c r="E6" s="47" t="n">
        <f aca="false">COUNT('Meus serviços'!B5:B29)</f>
        <v>8</v>
      </c>
      <c r="F6" s="47"/>
      <c r="G6" s="47"/>
      <c r="H6" s="47" t="n">
        <f aca="false">COUNTIF('Meus serviços'!F5:F29,"Atenção*")+COUNTIF('Meus serviços'!F5:F29,"PREJUÍZO*")</f>
        <v>2</v>
      </c>
      <c r="I6" s="47"/>
      <c r="J6" s="47"/>
      <c r="K6" s="48" t="n">
        <f aca="false">COUNTIF('Meus serviços'!F5:F29,"PREJUÍZO*")</f>
        <v>1</v>
      </c>
      <c r="L6" s="48"/>
      <c r="M6" s="48"/>
      <c r="N6" s="6"/>
    </row>
    <row r="7" customFormat="false" ht="24" hidden="false" customHeight="true" outlineLevel="0" collapsed="false">
      <c r="A7" s="6"/>
      <c r="B7" s="49" t="s">
        <v>90</v>
      </c>
      <c r="C7" s="49"/>
      <c r="D7" s="49"/>
      <c r="E7" s="49" t="s">
        <v>91</v>
      </c>
      <c r="F7" s="49"/>
      <c r="G7" s="49"/>
      <c r="H7" s="49" t="s">
        <v>92</v>
      </c>
      <c r="I7" s="49"/>
      <c r="J7" s="49"/>
      <c r="K7" s="49" t="s">
        <v>93</v>
      </c>
      <c r="L7" s="49"/>
      <c r="M7" s="49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50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1 serviço(s) estão com preço abaixo do custo. Veja o preço sugerido na aba Meus serviços.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4" t="s">
        <v>95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51" t="s">
        <v>96</v>
      </c>
      <c r="B1" s="51"/>
      <c r="C1" s="51"/>
      <c r="D1" s="51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2" t="s">
        <v>97</v>
      </c>
      <c r="C3" s="52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3" t="s">
        <v>63</v>
      </c>
      <c r="C5" s="54" t="s">
        <v>98</v>
      </c>
      <c r="D5" s="6"/>
    </row>
    <row r="6" customFormat="false" ht="24" hidden="false" customHeight="true" outlineLevel="0" collapsed="false">
      <c r="A6" s="6"/>
      <c r="B6" s="55" t="str">
        <f aca="false">IF('Meus serviços'!B5="","",'Meus serviços'!A5)</f>
        <v>Corte feminino</v>
      </c>
      <c r="C6" s="56" t="n">
        <f aca="false">IF('Meus serviços'!B5="","",IF('Meus serviços'!D5&gt;='Meus serviços'!E5,'Meus serviços'!D5,'Meus serviços'!E5))</f>
        <v>80</v>
      </c>
      <c r="D6" s="6"/>
    </row>
    <row r="7" customFormat="false" ht="24" hidden="false" customHeight="true" outlineLevel="0" collapsed="false">
      <c r="A7" s="6"/>
      <c r="B7" s="55" t="str">
        <f aca="false">IF('Meus serviços'!B6="","",'Meus serviços'!A6)</f>
        <v>Escova</v>
      </c>
      <c r="C7" s="56" t="n">
        <f aca="false">IF('Meus serviços'!B6="","",IF('Meus serviços'!D6&gt;='Meus serviços'!E6,'Meus serviços'!D6,'Meus serviços'!E6))</f>
        <v>39</v>
      </c>
      <c r="D7" s="6"/>
    </row>
    <row r="8" customFormat="false" ht="24" hidden="false" customHeight="true" outlineLevel="0" collapsed="false">
      <c r="A8" s="6"/>
      <c r="B8" s="55" t="str">
        <f aca="false">IF('Meus serviços'!B7="","",'Meus serviços'!A7)</f>
        <v>Manicure (mão)</v>
      </c>
      <c r="C8" s="56" t="n">
        <f aca="false">IF('Meus serviços'!B7="","",IF('Meus serviços'!D7&gt;='Meus serviços'!E7,'Meus serviços'!D7,'Meus serviços'!E7))</f>
        <v>36</v>
      </c>
      <c r="D8" s="6"/>
    </row>
    <row r="9" customFormat="false" ht="24" hidden="false" customHeight="true" outlineLevel="0" collapsed="false">
      <c r="A9" s="6"/>
      <c r="B9" s="55" t="str">
        <f aca="false">IF('Meus serviços'!B8="","",'Meus serviços'!A8)</f>
        <v>Design de sobrancelha</v>
      </c>
      <c r="C9" s="56" t="n">
        <f aca="false">IF('Meus serviços'!B8="","",IF('Meus serviços'!D8&gt;='Meus serviços'!E8,'Meus serviços'!D8,'Meus serviços'!E8))</f>
        <v>40</v>
      </c>
      <c r="D9" s="6"/>
    </row>
    <row r="10" customFormat="false" ht="24" hidden="false" customHeight="true" outlineLevel="0" collapsed="false">
      <c r="A10" s="6"/>
      <c r="B10" s="55" t="str">
        <f aca="false">IF('Meus serviços'!B9="","",'Meus serviços'!A9)</f>
        <v>Limpeza de pele</v>
      </c>
      <c r="C10" s="56" t="n">
        <f aca="false">IF('Meus serviços'!B9="","",IF('Meus serviços'!D9&gt;='Meus serviços'!E9,'Meus serviços'!D9,'Meus serviços'!E9))</f>
        <v>120</v>
      </c>
      <c r="D10" s="6"/>
    </row>
    <row r="11" customFormat="false" ht="24" hidden="false" customHeight="true" outlineLevel="0" collapsed="false">
      <c r="A11" s="6"/>
      <c r="B11" s="55" t="str">
        <f aca="false">IF('Meus serviços'!B10="","",'Meus serviços'!A10)</f>
        <v>Massagem relaxante</v>
      </c>
      <c r="C11" s="56" t="n">
        <f aca="false">IF('Meus serviços'!B10="","",IF('Meus serviços'!D10&gt;='Meus serviços'!E10,'Meus serviços'!D10,'Meus serviços'!E10))</f>
        <v>100</v>
      </c>
      <c r="D11" s="6"/>
    </row>
    <row r="12" customFormat="false" ht="24" hidden="false" customHeight="true" outlineLevel="0" collapsed="false">
      <c r="A12" s="6"/>
      <c r="B12" s="55" t="str">
        <f aca="false">IF('Meus serviços'!B11="","",'Meus serviços'!A11)</f>
        <v>Extensão de cílios</v>
      </c>
      <c r="C12" s="56" t="n">
        <f aca="false">IF('Meus serviços'!B11="","",IF('Meus serviços'!D11&gt;='Meus serviços'!E11,'Meus serviços'!D11,'Meus serviços'!E11))</f>
        <v>180</v>
      </c>
      <c r="D12" s="6"/>
    </row>
    <row r="13" customFormat="false" ht="24" hidden="false" customHeight="true" outlineLevel="0" collapsed="false">
      <c r="A13" s="6"/>
      <c r="B13" s="55" t="str">
        <f aca="false">IF('Meus serviços'!B12="","",'Meus serviços'!A12)</f>
        <v>Depilação (perna)</v>
      </c>
      <c r="C13" s="56" t="n">
        <f aca="false">IF('Meus serviços'!B12="","",IF('Meus serviços'!D12&gt;='Meus serviços'!E12,'Meus serviços'!D12,'Meus serviços'!E12))</f>
        <v>55</v>
      </c>
      <c r="D13" s="6"/>
    </row>
    <row r="14" customFormat="false" ht="24" hidden="false" customHeight="true" outlineLevel="0" collapsed="false">
      <c r="A14" s="6"/>
      <c r="B14" s="55" t="str">
        <f aca="false">IF('Meus serviços'!B13="","",'Meus serviços'!A13)</f>
        <v/>
      </c>
      <c r="C14" s="56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55" t="str">
        <f aca="false">IF('Meus serviços'!B14="","",'Meus serviços'!A14)</f>
        <v/>
      </c>
      <c r="C15" s="56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55" t="str">
        <f aca="false">IF('Meus serviços'!B15="","",'Meus serviços'!A15)</f>
        <v/>
      </c>
      <c r="C16" s="56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55" t="str">
        <f aca="false">IF('Meus serviços'!B16="","",'Meus serviços'!A16)</f>
        <v/>
      </c>
      <c r="C17" s="56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55" t="str">
        <f aca="false">IF('Meus serviços'!B17="","",'Meus serviços'!A17)</f>
        <v/>
      </c>
      <c r="C18" s="56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55" t="str">
        <f aca="false">IF('Meus serviços'!B18="","",'Meus serviços'!A18)</f>
        <v/>
      </c>
      <c r="C19" s="56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55" t="str">
        <f aca="false">IF('Meus serviços'!B19="","",'Meus serviços'!A19)</f>
        <v/>
      </c>
      <c r="C20" s="56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55" t="str">
        <f aca="false">IF('Meus serviços'!B20="","",'Meus serviços'!A20)</f>
        <v/>
      </c>
      <c r="C21" s="56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55" t="str">
        <f aca="false">IF('Meus serviços'!B21="","",'Meus serviços'!A21)</f>
        <v/>
      </c>
      <c r="C22" s="56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55" t="str">
        <f aca="false">IF('Meus serviços'!B22="","",'Meus serviços'!A22)</f>
        <v/>
      </c>
      <c r="C23" s="56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55" t="str">
        <f aca="false">IF('Meus serviços'!B23="","",'Meus serviços'!A23)</f>
        <v/>
      </c>
      <c r="C24" s="56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55" t="str">
        <f aca="false">IF('Meus serviços'!B24="","",'Meus serviços'!A24)</f>
        <v/>
      </c>
      <c r="C25" s="56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55" t="str">
        <f aca="false">IF('Meus serviços'!B25="","",'Meus serviços'!A25)</f>
        <v/>
      </c>
      <c r="C26" s="56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55" t="str">
        <f aca="false">IF('Meus serviços'!B26="","",'Meus serviços'!A26)</f>
        <v/>
      </c>
      <c r="C27" s="56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55" t="str">
        <f aca="false">IF('Meus serviços'!B27="","",'Meus serviços'!A27)</f>
        <v/>
      </c>
      <c r="C28" s="56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55" t="str">
        <f aca="false">IF('Meus serviços'!B28="","",'Meus serviços'!A28)</f>
        <v/>
      </c>
      <c r="C29" s="56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55" t="str">
        <f aca="false">IF('Meus serviços'!B29="","",'Meus serviços'!A29)</f>
        <v/>
      </c>
      <c r="C30" s="56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7" t="s">
        <v>99</v>
      </c>
      <c r="C33" s="57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2026-10-20T14:13:11Z</dcterms:created>
  <dc:creator>Kit Preço Certo</dc:creator>
  <dc:description/>
  <dc:language>en-US</dc:language>
  <cp:lastModifiedBy/>
  <dcterms:modified xsi:type="dcterms:W3CDTF">2026-10-20T11:13:13Z</dcterms:modified>
  <cp:revision>1</cp:revision>
  <dc:subject/>
  <dc:title>Calculadora de Preço para Serviços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