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 primeiro" sheetId="1" state="visible" r:id="rId3"/>
    <sheet name="Meu custo por hora" sheetId="2" state="visible" r:id="rId4"/>
    <sheet name="Meus serviços" sheetId="3" state="visible" r:id="rId5"/>
    <sheet name="Meu Painel" sheetId="4" state="visible" r:id="rId6"/>
    <sheet name="Tabela para divulgar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<sst xmlns="http://schemas.openxmlformats.org/spreadsheetml/2006/main" count="115" uniqueCount="111">
  <si>
    <t xml:space="preserve">Kit Preço Certo</t>
  </si>
  <si>
    <t xml:space="preserve">Calculadora de preço para quem vende serviços</t>
  </si>
  <si>
    <t xml:space="preserve">Fórmulas prontas: é só preencher as células amarelas. Não precisa saber Excel.</t>
  </si>
  <si>
    <t xml:space="preserve">Comece em 3 passos</t>
  </si>
  <si>
    <t xml:space="preserve">1</t>
  </si>
  <si>
    <t xml:space="preserve">Descubra o custo da sua hora</t>
  </si>
  <si>
    <t xml:space="preserve">Abrir aba  →</t>
  </si>
  <si>
    <t xml:space="preserve">Aba “Meu custo por hora”: preencha as células amarelas com seus gastos do mês, o quanto quer tirar para você e suas horas de trabalho.</t>
  </si>
  <si>
    <t xml:space="preserve">2</t>
  </si>
  <si>
    <t xml:space="preserve">Cadastre seus serviços</t>
  </si>
  <si>
    <t xml:space="preserve">Aba “Meus serviços”: escreva o serviço, o tempo, o material gasto e o preço que você cobra hoje.</t>
  </si>
  <si>
    <t xml:space="preserve">3</t>
  </si>
  <si>
    <t xml:space="preserve">Veja o preço certo de cada um</t>
  </si>
  <si>
    <t xml:space="preserve">Ver painel  →</t>
  </si>
  <si>
    <t xml:space="preserve">Você recebe o preço sugerido, o lucro de hoje e um aviso quando um serviço está dando prejuízo. Veja o resumo no “Meu Painel” e copie a “Tabela para divulgar”.</t>
  </si>
  <si>
    <t xml:space="preserve">Como ler as cores</t>
  </si>
  <si>
    <t xml:space="preserve">Você preenche</t>
  </si>
  <si>
    <t xml:space="preserve">Células amarelas: são as únicas que você edita.</t>
  </si>
  <si>
    <t xml:space="preserve">Calculado</t>
  </si>
  <si>
    <t xml:space="preserve">Fórmulas automáticas. Não precisa mexer.</t>
  </si>
  <si>
    <t xml:space="preserve">Resultado</t>
  </si>
  <si>
    <t xml:space="preserve">Preço sugerido e resultados principais, calculados sozinhos.</t>
  </si>
  <si>
    <t xml:space="preserve">Importante</t>
  </si>
  <si>
    <t xml:space="preserve">✦  Os números que já estão preenchidos são EXEMPLOS ilustrativos, para você ver a conta funcionando. Troque pelos seus.</t>
  </si>
  <si>
    <t xml:space="preserve">✦  A calculadora mostra a conta do preço. Ela não promete ganho nem resultado: o resultado depende dos seus custos e da sua demanda.</t>
  </si>
  <si>
    <t xml:space="preserve">✦  Impostos: se você é MEI, coloque o valor do DAS mensal nos gastos fixos. Confirme o valor atual no portal oficial do MEI.</t>
  </si>
  <si>
    <t xml:space="preserve">✦  Ferramenta de apoio. Não substitui a orientação de um contador.</t>
  </si>
  <si>
    <t xml:space="preserve">Kit Preço Certo  ·  kitprecocerto.com.br</t>
  </si>
  <si>
    <t xml:space="preserve">Passo 1  ·  Quanto custa a sua hora</t>
  </si>
  <si>
    <t xml:space="preserve">Preencha só as células amarelas. As contas já estão prontas. Os valores preenchidos são exemplos: troque pelos seus.</t>
  </si>
  <si>
    <t xml:space="preserve">Gastos fixos do mês (R$)</t>
  </si>
  <si>
    <t xml:space="preserve">Aluguel / cadeira / espaço</t>
  </si>
  <si>
    <t xml:space="preserve">Se atende em casa, ponha 0 ou uma parte do aluguel</t>
  </si>
  <si>
    <t xml:space="preserve">Luz, água, internet</t>
  </si>
  <si>
    <t xml:space="preserve">Imposto (ex.: DAS do MEI)</t>
  </si>
  <si>
    <t xml:space="preserve">Exemplo. Confira o valor atual no portal do MEI</t>
  </si>
  <si>
    <t xml:space="preserve">Telefone / aplicativos / agenda</t>
  </si>
  <si>
    <t xml:space="preserve">Divulgação (anúncios, cartões, etc.)</t>
  </si>
  <si>
    <t xml:space="preserve">Reposição de equipamentos (lixa, alicate)</t>
  </si>
  <si>
    <t xml:space="preserve">Média mensal</t>
  </si>
  <si>
    <t xml:space="preserve">Outros gastos fixos</t>
  </si>
  <si>
    <t xml:space="preserve">Total de gastos fixos</t>
  </si>
  <si>
    <t xml:space="preserve">O quanto você quer tirar para você</t>
  </si>
  <si>
    <t xml:space="preserve">Retirada mensal desejada (seu salário)</t>
  </si>
  <si>
    <t xml:space="preserve">É o que você quer ganhar por mês, além dos gastos</t>
  </si>
  <si>
    <t xml:space="preserve">Seu tempo de trabalho</t>
  </si>
  <si>
    <t xml:space="preserve">Horas de atendimento por dia</t>
  </si>
  <si>
    <t xml:space="preserve">Horas em que está no local, disponível</t>
  </si>
  <si>
    <t xml:space="preserve">Dias trabalhados por semana</t>
  </si>
  <si>
    <t xml:space="preserve">Taxa de ocupação da agenda (%)</t>
  </si>
  <si>
    <t xml:space="preserve">Parte das horas em que há cliente. Seja realista (50–80%)</t>
  </si>
  <si>
    <t xml:space="preserve">Semanas por mês (média)</t>
  </si>
  <si>
    <t xml:space="preserve">Valor fixo: 52 semanas ÷ 12 meses</t>
  </si>
  <si>
    <t xml:space="preserve">Horas vendáveis por mês</t>
  </si>
  <si>
    <t xml:space="preserve">CUSTO DA SUA HORA (gastos + retirada)</t>
  </si>
  <si>
    <t xml:space="preserve">Esse valor entra sozinho na aba “Meus serviços”</t>
  </si>
  <si>
    <t xml:space="preserve">Taxas e margem (valem para todos os serviços)</t>
  </si>
  <si>
    <t xml:space="preserve">Taxa da maquininha/cartão (%)</t>
  </si>
  <si>
    <t xml:space="preserve">Veja a taxa da sua maquininha</t>
  </si>
  <si>
    <t xml:space="preserve">Margem de segurança / reserva (%)</t>
  </si>
  <si>
    <t xml:space="preserve">Para imprevistos e crescer. 0% se não quiser</t>
  </si>
  <si>
    <t xml:space="preserve">Pronto! Próximo passo: cadastrar seus serviços  →</t>
  </si>
  <si>
    <t xml:space="preserve">Passo 2  ·  Preço sugerido por serviço</t>
  </si>
  <si>
    <t xml:space="preserve">Próximo: Meu Painel  →</t>
  </si>
  <si>
    <t xml:space="preserve">Preencha as células amarelas (A a D). O PREÇO SUGERIDO aparece sozinho ao lado. Os serviços abaixo são EXEMPLOS: troque pelos seus.</t>
  </si>
  <si>
    <t xml:space="preserve">Serviço</t>
  </si>
  <si>
    <t xml:space="preserve">Tempo (min)</t>
  </si>
  <si>
    <t xml:space="preserve">Material (R$)</t>
  </si>
  <si>
    <t xml:space="preserve">Cobro hoje (R$)</t>
  </si>
  <si>
    <t xml:space="preserve">PREÇO SUGERIDO (R$)</t>
  </si>
  <si>
    <t xml:space="preserve">Situação</t>
  </si>
  <si>
    <t xml:space="preserve">Custo do tempo (R$)</t>
  </si>
  <si>
    <t xml:space="preserve">Custo total (R$)</t>
  </si>
  <si>
    <t xml:space="preserve">Lucro hoje (R$)</t>
  </si>
  <si>
    <t xml:space="preserve">Corte feminino</t>
  </si>
  <si>
    <t xml:space="preserve">Escova</t>
  </si>
  <si>
    <t xml:space="preserve">Manicure (mão)</t>
  </si>
  <si>
    <t xml:space="preserve">Design de sobrancelha</t>
  </si>
  <si>
    <t xml:space="preserve">Limpeza de pele</t>
  </si>
  <si>
    <t xml:space="preserve">Massagem relaxante</t>
  </si>
  <si>
    <t xml:space="preserve">Extensão de cílios</t>
  </si>
  <si>
    <t xml:space="preserve">Depilação (perna)</t>
  </si>
  <si>
    <t xml:space="preserve">✦  Como o preço é calculado: (custo do tempo + material) ÷ (1 − taxa do cartão − margem), arredondado para cima ao real.</t>
  </si>
  <si>
    <t xml:space="preserve">✦  Custo do tempo = minutos ÷ 60 × custo da sua hora (aba “Meu custo por hora”). As colunas de conta ficam à direita (G a I).</t>
  </si>
  <si>
    <t xml:space="preserve">✦  Lucro hoje = o que você cobra, menos a taxa do cartão, menos o custo total. Negativo = você paga para fazer esse serviço.</t>
  </si>
  <si>
    <t xml:space="preserve">✦  Tempos e materiais dos exemplos são ilustrativos. Meça os seus: cronometre 3 atendimentos e anote o que gastou.</t>
  </si>
  <si>
    <t xml:space="preserve">Seu painel de preços</t>
  </si>
  <si>
    <t xml:space="preserve">Ver Tabela para divulgar  →</t>
  </si>
  <si>
    <t xml:space="preserve">Resumo automático feito com o que você preencheu nas abas anteriores. Aqui você não digita nada.</t>
  </si>
  <si>
    <t xml:space="preserve">CUSTO DA SUA HORA</t>
  </si>
  <si>
    <t xml:space="preserve">SERVIÇOS CADASTRADOS</t>
  </si>
  <si>
    <t xml:space="preserve">PEDEM REAJUSTE</t>
  </si>
  <si>
    <t xml:space="preserve">DANDO PREJUÍZO</t>
  </si>
  <si>
    <t xml:space="preserve">gastos + sua retirada</t>
  </si>
  <si>
    <t xml:space="preserve">na aba Meus serviços</t>
  </si>
  <si>
    <t xml:space="preserve">pouca folga ou prejuízo</t>
  </si>
  <si>
    <t xml:space="preserve">preço abaixo do custo</t>
  </si>
  <si>
    <t xml:space="preserve">SERVIÇOS OK</t>
  </si>
  <si>
    <t xml:space="preserve">LUCRO MÉDIO HOJE</t>
  </si>
  <si>
    <t xml:space="preserve">MAIS LUCRATIVO</t>
  </si>
  <si>
    <t xml:space="preserve">PEDE MAIS ATENÇÃO</t>
  </si>
  <si>
    <t xml:space="preserve">cobrem custos e margem</t>
  </si>
  <si>
    <t xml:space="preserve">por atendimento, após a maquininha</t>
  </si>
  <si>
    <t xml:space="preserve">maior lucro por atendimento</t>
  </si>
  <si>
    <t xml:space="preserve">menor lucro por atendimento</t>
  </si>
  <si>
    <t xml:space="preserve">Quanto você cobra hoje × preço sugerido</t>
  </si>
  <si>
    <t xml:space="preserve">✦  O gráfico mostra os 10 primeiros serviços da aba “Meus serviços”.</t>
  </si>
  <si>
    <t xml:space="preserve">Tabela de preços</t>
  </si>
  <si>
    <t xml:space="preserve">Digite aqui o nome do seu studio (opcional)</t>
  </si>
  <si>
    <t xml:space="preserve">Preço</t>
  </si>
  <si>
    <t xml:space="preserve">A tabela usa o maior valor entre o que você cobra hoje e o preço sugerido. Tire um print e poste.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</si>
</sst>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&quot;R$ &quot;#,##0.00"/>
    <numFmt numFmtId="166" formatCode="0.0"/>
    <numFmt numFmtId="167" formatCode="0"/>
    <numFmt numFmtId="168" formatCode="0.0%"/>
    <numFmt numFmtId="169" formatCode="0.00"/>
    <numFmt numFmtId="170" formatCode="&quot;R$ &quot;#,##0.00;[RED]&quot;-R$ &quot;#,##0.00"/>
    <numFmt numFmtId="171" formatCode="@"/>
    <numFmt numFmtId="172" formatCode="&quot;R$ &quot;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8"/>
      <color rgb="FFFFFFFF"/>
      <name val="Arial Rounded MT Bold"/>
      <family val="0"/>
      <charset val="1"/>
    </font>
    <font>
      <b val="true"/>
      <sz val="13"/>
      <color rgb="FFF6D27A"/>
      <name val="Arial"/>
      <family val="0"/>
      <charset val="1"/>
    </font>
    <font>
      <i val="true"/>
      <sz val="10.5"/>
      <color rgb="FFFFD3E8"/>
      <name val="Arial"/>
      <family val="0"/>
      <charset val="1"/>
    </font>
    <font>
      <sz val="18"/>
      <color rgb="FF3A0A26"/>
      <name val="Arial Rounded MT Bold"/>
      <family val="0"/>
      <charset val="1"/>
    </font>
    <font>
      <sz val="22"/>
      <color rgb="FFFFFFFF"/>
      <name val="Arial Rounded MT Bold"/>
      <family val="0"/>
      <charset val="1"/>
    </font>
    <font>
      <b val="true"/>
      <sz val="12"/>
      <color rgb="FFC2185B"/>
      <name val="Arial"/>
      <family val="0"/>
      <charset val="1"/>
    </font>
    <font>
      <b val="true"/>
      <sz val="10"/>
      <color rgb="FF3A0A26"/>
      <name val="Arial"/>
      <family val="0"/>
      <charset val="1"/>
    </font>
    <font>
      <sz val="9.5"/>
      <color rgb="FF7A5266"/>
      <name val="Arial"/>
      <family val="0"/>
      <charset val="1"/>
    </font>
    <font>
      <sz val="14"/>
      <color rgb="FF3A0A26"/>
      <name val="Arial Rounded MT Bold"/>
      <family val="0"/>
      <charset val="1"/>
    </font>
    <font>
      <sz val="10"/>
      <color rgb="FF3A0A26"/>
      <name val="Arial"/>
      <family val="0"/>
      <charset val="1"/>
    </font>
    <font>
      <sz val="10"/>
      <color rgb="FF7A5266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b val="true"/>
      <sz val="9"/>
      <color rgb="FFE0B84C"/>
      <name val="Arial"/>
      <family val="0"/>
      <charset val="1"/>
    </font>
    <font>
      <sz val="20"/>
      <color rgb="FFFFFFFF"/>
      <name val="Arial Rounded MT Bold"/>
      <family val="0"/>
      <charset val="1"/>
    </font>
    <font>
      <i val="true"/>
      <sz val="10"/>
      <color rgb="FF7A5266"/>
      <name val="Arial"/>
      <family val="0"/>
      <charset val="1"/>
    </font>
    <font>
      <b val="true"/>
      <sz val="11"/>
      <color rgb="FF3A0A26"/>
      <name val="Arial"/>
      <family val="0"/>
      <charset val="1"/>
    </font>
    <font>
      <sz val="10.5"/>
      <color rgb="FF3A0A26"/>
      <name val="Arial"/>
      <family val="0"/>
      <charset val="1"/>
    </font>
    <font>
      <i val="true"/>
      <sz val="9"/>
      <color rgb="FF7A5266"/>
      <name val="Arial"/>
      <family val="0"/>
      <charset val="1"/>
    </font>
    <font>
      <b val="true"/>
      <sz val="10.5"/>
      <color rgb="FF3A0A26"/>
      <name val="Arial"/>
      <family val="0"/>
      <charset val="1"/>
    </font>
    <font>
      <sz val="11"/>
      <color rgb="FF3A0A26"/>
      <name val="Arial"/>
      <family val="0"/>
      <charset val="1"/>
    </font>
    <font>
      <sz val="18"/>
      <color rgb="FFC2185B"/>
      <name val="Arial Rounded MT Bold"/>
      <family val="0"/>
      <charset val="1"/>
    </font>
    <font>
      <b val="true"/>
      <sz val="12"/>
      <color rgb="FF3A0A2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.5"/>
      <color rgb="FFC2185B"/>
      <name val="Arial"/>
      <family val="0"/>
      <charset val="1"/>
    </font>
    <font>
      <b val="true"/>
      <sz val="9"/>
      <color rgb="FF7A5266"/>
      <name val="Arial"/>
      <family val="0"/>
      <charset val="1"/>
    </font>
    <font>
      <sz val="26"/>
      <color rgb="FFC2185B"/>
      <name val="Arial Rounded MT Bold"/>
      <family val="0"/>
      <charset val="1"/>
    </font>
    <font>
      <sz val="26"/>
      <color rgb="FFB00040"/>
      <name val="Arial Rounded MT Bold"/>
      <family val="0"/>
      <charset val="1"/>
    </font>
    <font>
      <sz val="26"/>
      <color rgb="FF1B6B3A"/>
      <name val="Arial Rounded MT Bold"/>
      <family val="0"/>
      <charset val="1"/>
    </font>
    <font>
      <sz val="22"/>
      <color rgb="FFC2185B"/>
      <name val="Arial Rounded MT Bold"/>
      <family val="0"/>
      <charset val="1"/>
    </font>
    <font>
      <sz val="14"/>
      <color rgb="FF1B6B3A"/>
      <name val="Arial Rounded MT Bold"/>
      <family val="0"/>
      <charset val="1"/>
    </font>
    <font>
      <sz val="14"/>
      <color rgb="FFB00040"/>
      <name val="Arial Rounded MT Bold"/>
      <family val="0"/>
      <charset val="1"/>
    </font>
    <font>
      <sz val="10"/>
      <color rgb="FF000000"/>
      <name val="Calibri"/>
      <family val="2"/>
    </font>
    <font>
      <b val="true"/>
      <i val="true"/>
      <sz val="10"/>
      <color rgb="FF3A0A26"/>
      <name val="Arial"/>
      <family val="0"/>
      <charset val="1"/>
    </font>
    <font>
      <b val="true"/>
      <sz val="11"/>
      <color rgb="FFC2185B"/>
      <name val="Arial"/>
      <family val="0"/>
      <charset val="1"/>
    </font>
    <font>
      <i val="true"/>
      <sz val="8.5"/>
      <color rgb="FF7A5266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5A1236"/>
        <bgColor rgb="FF3A0A26"/>
      </patternFill>
    </fill>
    <fill>
      <patternFill patternType="solid">
        <fgColor rgb="FFFF4FA3"/>
        <bgColor rgb="FFE91E78"/>
      </patternFill>
    </fill>
    <fill>
      <patternFill patternType="solid">
        <fgColor rgb="FFFFFAF7"/>
        <bgColor rgb="FFFFFFFF"/>
      </patternFill>
    </fill>
    <fill>
      <patternFill patternType="solid">
        <fgColor rgb="FFE91E78"/>
        <bgColor rgb="FFC2185B"/>
      </patternFill>
    </fill>
    <fill>
      <patternFill patternType="solid">
        <fgColor rgb="FFFFFFFF"/>
        <bgColor rgb="FFFFFAF7"/>
      </patternFill>
    </fill>
    <fill>
      <patternFill patternType="solid">
        <fgColor rgb="FFFBE7A6"/>
        <bgColor rgb="FFFFF3C4"/>
      </patternFill>
    </fill>
    <fill>
      <patternFill patternType="solid">
        <fgColor rgb="FFFFF3C4"/>
        <bgColor rgb="FFFFF1CC"/>
      </patternFill>
    </fill>
    <fill>
      <patternFill patternType="solid">
        <fgColor rgb="FFFFDCEB"/>
        <bgColor rgb="FFFDE0E8"/>
      </patternFill>
    </fill>
    <fill>
      <patternFill patternType="solid">
        <fgColor rgb="FFFCE9F0"/>
        <bgColor rgb="FFF8EDE6"/>
      </patternFill>
    </fill>
    <fill>
      <patternFill patternType="solid">
        <fgColor rgb="FFF4B6CC"/>
        <bgColor rgb="FFF0D5DF"/>
      </patternFill>
    </fill>
    <fill>
      <patternFill patternType="solid">
        <fgColor rgb="FFF8EDE6"/>
        <bgColor rgb="FFFCE9F0"/>
      </patternFill>
    </fill>
    <fill>
      <patternFill patternType="solid">
        <fgColor rgb="FFE0B84C"/>
        <bgColor rgb="FFF6D27A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thin">
        <color rgb="FFE0B84C"/>
      </left>
      <right style="thin">
        <color rgb="FFE0B84C"/>
      </right>
      <top style="thin">
        <color rgb="FFE0B84C"/>
      </top>
      <bottom style="thin">
        <color rgb="FFE0B84C"/>
      </bottom>
      <diagonal/>
    </border>
    <border diagonalUp="false" diagonalDown="false">
      <left/>
      <right/>
      <top/>
      <bottom style="thin">
        <color rgb="FFF4B6CC"/>
      </bottom>
      <diagonal/>
    </border>
    <border diagonalUp="false" diagonalDown="false">
      <left style="thin">
        <color rgb="FFF4B6CC"/>
      </left>
      <right style="thin">
        <color rgb="FFF4B6CC"/>
      </right>
      <top style="thin">
        <color rgb="FFF4B6CC"/>
      </top>
      <bottom style="thin">
        <color rgb="FFF4B6CC"/>
      </bottom>
      <diagonal/>
    </border>
    <border diagonalUp="false" diagonalDown="false">
      <left style="thin">
        <color rgb="FFE91E78"/>
      </left>
      <right style="thin">
        <color rgb="FFE91E78"/>
      </right>
      <top style="thin">
        <color rgb="FFE91E78"/>
      </top>
      <bottom style="thin">
        <color rgb="FFE91E78"/>
      </bottom>
      <diagonal/>
    </border>
    <border diagonalUp="false" diagonalDown="false">
      <left/>
      <right/>
      <top/>
      <bottom style="hair">
        <color rgb="FFF4B6CC"/>
      </bottom>
      <diagonal/>
    </border>
    <border diagonalUp="false" diagonalDown="false">
      <left/>
      <right/>
      <top style="thin">
        <color rgb="FFE0B84C"/>
      </top>
      <bottom/>
      <diagonal/>
    </border>
    <border diagonalUp="false" diagonalDown="false">
      <left style="medium">
        <color rgb="FFE91E78"/>
      </left>
      <right style="medium">
        <color rgb="FFE91E78"/>
      </right>
      <top style="medium">
        <color rgb="FFE91E78"/>
      </top>
      <bottom style="medium">
        <color rgb="FFE91E78"/>
      </bottom>
      <diagonal/>
    </border>
    <border diagonalUp="false" diagonalDown="false">
      <left style="medium">
        <color rgb="FFE0B84C"/>
      </left>
      <right style="medium">
        <color rgb="FFE0B84C"/>
      </right>
      <top style="medium">
        <color rgb="FFE0B84C"/>
      </top>
      <bottom style="medium">
        <color rgb="FFE0B84C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hair">
        <color rgb="FFE0B84C"/>
      </left>
      <right style="hair">
        <color rgb="FFE0B84C"/>
      </right>
      <top style="hair">
        <color rgb="FFE0B84C"/>
      </top>
      <bottom style="hair">
        <color rgb="FFE0B84C"/>
      </bottom>
      <diagonal/>
    </border>
    <border diagonalUp="false" diagonalDown="false">
      <left style="hair">
        <color rgb="FFF4B6CC"/>
      </left>
      <right style="hair">
        <color rgb="FFF4B6CC"/>
      </right>
      <top style="hair">
        <color rgb="FFF4B6CC"/>
      </top>
      <bottom style="hair">
        <color rgb="FFF4B6CC"/>
      </bottom>
      <diagonal/>
    </border>
    <border diagonalUp="false" diagonalDown="false">
      <left style="thick">
        <color rgb="FFFFFAF7"/>
      </left>
      <right style="thick">
        <color rgb="FFFFFAF7"/>
      </right>
      <top style="medium">
        <color rgb="FFE0B84C"/>
      </top>
      <bottom/>
      <diagonal/>
    </border>
    <border diagonalUp="false" diagonalDown="false">
      <left style="thick">
        <color rgb="FFFFFAF7"/>
      </left>
      <right style="thick">
        <color rgb="FFFFFAF7"/>
      </right>
      <top/>
      <bottom/>
      <diagonal/>
    </border>
    <border diagonalUp="false" diagonalDown="false">
      <left style="thick">
        <color rgb="FFFFFAF7"/>
      </left>
      <right style="thick">
        <color rgb="FFFFFAF7"/>
      </right>
      <top/>
      <bottom style="thin">
        <color rgb="FFF4B6CC"/>
      </bottom>
      <diagonal/>
    </border>
    <border diagonalUp="false" diagonalDown="false">
      <left style="thick">
        <color rgb="FFE0B84C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2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7" shrinkToFit="false"/>
      <protection locked="true" hidden="false"/>
    </xf>
    <xf numFmtId="164" fontId="18" fillId="1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11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6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1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2" fillId="12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12" borderId="5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9" fontId="23" fillId="6" borderId="5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23" fillId="6" borderId="5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9" fillId="9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4" fillId="9" borderId="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5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8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0" fillId="8" borderId="1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0" fillId="8" borderId="1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7" fillId="9" borderId="1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0" fillId="6" borderId="1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6" borderId="1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0" fontId="20" fillId="6" borderId="1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1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9" fillId="6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9" fillId="6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0" fillId="6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1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31" fillId="6" borderId="1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0" fontId="32" fillId="6" borderId="1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1" fontId="33" fillId="6" borderId="1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1" fontId="34" fillId="6" borderId="1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9" fillId="12" borderId="1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0" fillId="11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23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37" fillId="4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3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1B6B3A"/>
      </font>
      <fill>
        <patternFill>
          <bgColor rgb="FFE3F4E7"/>
        </patternFill>
      </fill>
    </dxf>
    <dxf>
      <font>
        <name val="Arial"/>
        <charset val="1"/>
        <family val="0"/>
        <b val="1"/>
        <color rgb="FF8A5A00"/>
      </font>
      <fill>
        <patternFill>
          <bgColor rgb="FFFFF1CC"/>
        </patternFill>
      </fill>
    </dxf>
    <dxf>
      <font>
        <name val="Arial"/>
        <charset val="1"/>
        <family val="0"/>
        <b val="1"/>
        <color rgb="FFB00040"/>
      </font>
      <fill>
        <patternFill>
          <bgColor rgb="FFFDE0E8"/>
        </patternFill>
      </fill>
    </dxf>
    <dxf>
      <fill>
        <patternFill>
          <bgColor rgb="FFFFFFFF"/>
        </patternFill>
      </fill>
      <border diagonalUp="false" diagonalDown="false">
        <left/>
        <right/>
        <top/>
        <bottom style="thin">
          <color rgb="FFF4B6CC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1CC"/>
      <rgbColor rgb="FFFF00FF"/>
      <rgbColor rgb="FF00FFFF"/>
      <rgbColor rgb="FFB00040"/>
      <rgbColor rgb="FF1B6B3A"/>
      <rgbColor rgb="FF000080"/>
      <rgbColor rgb="FF8A5A00"/>
      <rgbColor rgb="FF800080"/>
      <rgbColor rgb="FF008080"/>
      <rgbColor rgb="FFF0D5DF"/>
      <rgbColor rgb="FF878787"/>
      <rgbColor rgb="FFFFDCEB"/>
      <rgbColor rgb="FFC2185B"/>
      <rgbColor rgb="FFFFF3C4"/>
      <rgbColor rgb="FFE3F4E7"/>
      <rgbColor rgb="FF5A1236"/>
      <rgbColor rgb="FFFF4FA3"/>
      <rgbColor rgb="FF0066CC"/>
      <rgbColor rgb="FFD9D9D9"/>
      <rgbColor rgb="FF000080"/>
      <rgbColor rgb="FFFF00FF"/>
      <rgbColor rgb="FFFCE9F0"/>
      <rgbColor rgb="FF00FFFF"/>
      <rgbColor rgb="FF800080"/>
      <rgbColor rgb="FF800000"/>
      <rgbColor rgb="FF008080"/>
      <rgbColor rgb="FF0000FF"/>
      <rgbColor rgb="FF00CCFF"/>
      <rgbColor rgb="FFFFFAF7"/>
      <rgbColor rgb="FFF8EDE6"/>
      <rgbColor rgb="FFFBE7A6"/>
      <rgbColor rgb="FFFDE0E8"/>
      <rgbColor rgb="FFF4B6CC"/>
      <rgbColor rgb="FFFFD3E8"/>
      <rgbColor rgb="FFF6D27A"/>
      <rgbColor rgb="FF3366FF"/>
      <rgbColor rgb="FF33CCCC"/>
      <rgbColor rgb="FF99CC00"/>
      <rgbColor rgb="FFE0B84C"/>
      <rgbColor rgb="FFFF9900"/>
      <rgbColor rgb="FFFF6600"/>
      <rgbColor rgb="FF7A5266"/>
      <rgbColor rgb="FF969696"/>
      <rgbColor rgb="FF003366"/>
      <rgbColor rgb="FF339966"/>
      <rgbColor rgb="FF003300"/>
      <rgbColor rgb="FF333300"/>
      <rgbColor rgb="FF993300"/>
      <rgbColor rgb="FFE91E78"/>
      <rgbColor rgb="FF333399"/>
      <rgbColor rgb="FF3A0A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"Cobro hoje"</c:f>
              <c:strCache>
                <c:ptCount val="1"/>
                <c:pt idx="0">
                  <c:v>Cobro hoje</c:v>
                </c:pt>
              </c:strCache>
            </c:strRef>
          </c:tx>
          <c:spPr>
            <a:solidFill>
              <a:srgbClr val="e0b84c"/>
            </a:solidFill>
            <a:ln w="9360">
              <a:solidFill>
                <a:srgbClr val="e0b84c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'Meus serviços'!$A$5:$A$14</c:f>
              <c:strCache>
                <c:ptCount val="10"/>
                <c:pt idx="0">
                  <c:v>Corte feminino</c:v>
                </c:pt>
                <c:pt idx="1">
                  <c:v>Escova</c:v>
                </c:pt>
                <c:pt idx="2">
                  <c:v>Manicure (mão)</c:v>
                </c:pt>
                <c:pt idx="3">
                  <c:v>Design de sobrancelha</c:v>
                </c:pt>
                <c:pt idx="4">
                  <c:v>Limpeza de pele</c:v>
                </c:pt>
                <c:pt idx="5">
                  <c:v>Massagem relaxante</c:v>
                </c:pt>
                <c:pt idx="6">
                  <c:v>Extensão de cílios</c:v>
                </c:pt>
                <c:pt idx="7">
                  <c:v>Depilação (perna)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'Meus serviços'!$D$5:$D$14</c:f>
              <c:numCache>
                <c:formatCode>"R$ "#,##0.00</c:formatCode>
                <c:ptCount val="10"/>
                <c:pt idx="0">
                  <c:v>80</c:v>
                </c:pt>
                <c:pt idx="1">
                  <c:v>35</c:v>
                </c:pt>
                <c:pt idx="2">
                  <c:v>30</c:v>
                </c:pt>
                <c:pt idx="3">
                  <c:v>40</c:v>
                </c:pt>
                <c:pt idx="4">
                  <c:v>120</c:v>
                </c:pt>
                <c:pt idx="5">
                  <c:v>100</c:v>
                </c:pt>
                <c:pt idx="6">
                  <c:v>180</c:v>
                </c:pt>
                <c:pt idx="7">
                  <c:v>55</c:v>
                </c:pt>
              </c:numCache>
            </c:numRef>
          </c:val>
        </c:ser>
        <c:ser>
          <c:idx val="1"/>
          <c:order val="1"/>
          <c:tx>
            <c:strRef>
              <c:f>"Preço sugerido"</c:f>
              <c:strCache>
                <c:ptCount val="1"/>
                <c:pt idx="0">
                  <c:v>Preço sugerido</c:v>
                </c:pt>
              </c:strCache>
            </c:strRef>
          </c:tx>
          <c:spPr>
            <a:solidFill>
              <a:srgbClr val="c2185b"/>
            </a:solidFill>
            <a:ln w="9360">
              <a:solidFill>
                <a:srgbClr val="c2185b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'Meus serviços'!$A$5:$A$14</c:f>
              <c:strCache>
                <c:ptCount val="10"/>
                <c:pt idx="0">
                  <c:v>Corte feminino</c:v>
                </c:pt>
                <c:pt idx="1">
                  <c:v>Escova</c:v>
                </c:pt>
                <c:pt idx="2">
                  <c:v>Manicure (mão)</c:v>
                </c:pt>
                <c:pt idx="3">
                  <c:v>Design de sobrancelha</c:v>
                </c:pt>
                <c:pt idx="4">
                  <c:v>Limpeza de pele</c:v>
                </c:pt>
                <c:pt idx="5">
                  <c:v>Massagem relaxante</c:v>
                </c:pt>
                <c:pt idx="6">
                  <c:v>Extensão de cílios</c:v>
                </c:pt>
                <c:pt idx="7">
                  <c:v>Depilação (perna)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'Meus serviços'!$E$5:$E$14</c:f>
              <c:numCache>
                <c:formatCode>"R$ "#,##0.00</c:formatCode>
                <c:ptCount val="10"/>
                <c:pt idx="0">
                  <c:v>49</c:v>
                </c:pt>
                <c:pt idx="1">
                  <c:v>39</c:v>
                </c:pt>
                <c:pt idx="2">
                  <c:v>36</c:v>
                </c:pt>
                <c:pt idx="3">
                  <c:v>25</c:v>
                </c:pt>
                <c:pt idx="4">
                  <c:v>70</c:v>
                </c:pt>
                <c:pt idx="5">
                  <c:v>51</c:v>
                </c:pt>
                <c:pt idx="6">
                  <c:v>124</c:v>
                </c:pt>
                <c:pt idx="7">
                  <c:v>37</c:v>
                </c:pt>
              </c:numCache>
            </c:numRef>
          </c:val>
        </c:ser>
        <c:gapWidth val="60"/>
        <c:overlap val="0"/>
        <c:axId val="5119810"/>
        <c:axId val="70011417"/>
      </c:barChart>
      <c:catAx>
        <c:axId val="51198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011417"/>
        <c:crosses val="autoZero"/>
        <c:auto val="1"/>
        <c:lblAlgn val="ctr"/>
        <c:lblOffset val="100"/>
        <c:noMultiLvlLbl val="0"/>
      </c:catAx>
      <c:valAx>
        <c:axId val="70011417"/>
        <c:scaling>
          <c:orientation val="minMax"/>
        </c:scaling>
        <c:delete val="0"/>
        <c:axPos val="l"/>
        <c:majorGridlines>
          <c:spPr>
            <a:ln w="9360">
              <a:solidFill>
                <a:srgbClr val="f0d5df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1981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2</xdr:col>
      <xdr:colOff>306360</xdr:colOff>
      <xdr:row>3</xdr:row>
      <xdr:rowOff>66600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211320" y="123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114480</xdr:colOff>
      <xdr:row>0</xdr:row>
      <xdr:rowOff>95400</xdr:rowOff>
    </xdr:from>
    <xdr:to>
      <xdr:col>0</xdr:col>
      <xdr:colOff>552240</xdr:colOff>
      <xdr:row>0</xdr:row>
      <xdr:rowOff>533160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114480" y="95400"/>
          <a:ext cx="437760" cy="437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114480</xdr:colOff>
      <xdr:row>0</xdr:row>
      <xdr:rowOff>95400</xdr:rowOff>
    </xdr:from>
    <xdr:to>
      <xdr:col>0</xdr:col>
      <xdr:colOff>552240</xdr:colOff>
      <xdr:row>0</xdr:row>
      <xdr:rowOff>533160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114480" y="95400"/>
          <a:ext cx="437760" cy="437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0</xdr:rowOff>
    </xdr:from>
    <xdr:to>
      <xdr:col>12</xdr:col>
      <xdr:colOff>415440</xdr:colOff>
      <xdr:row>33</xdr:row>
      <xdr:rowOff>26640</xdr:rowOff>
    </xdr:to>
    <xdr:graphicFrame>
      <xdr:nvGraphicFramePr>
        <xdr:cNvPr id="3" name="Chart 1"/>
        <xdr:cNvGraphicFramePr/>
      </xdr:nvGraphicFramePr>
      <xdr:xfrm>
        <a:off x="211320" y="4762440"/>
        <a:ext cx="9719640" cy="345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114480</xdr:colOff>
      <xdr:row>0</xdr:row>
      <xdr:rowOff>95400</xdr:rowOff>
    </xdr:from>
    <xdr:to>
      <xdr:col>1</xdr:col>
      <xdr:colOff>340920</xdr:colOff>
      <xdr:row>0</xdr:row>
      <xdr:rowOff>533160</xdr:rowOff>
    </xdr:to>
    <xdr:pic>
      <xdr:nvPicPr>
        <xdr:cNvPr id="4" name="Image 2" descr="Picture"/>
        <xdr:cNvPicPr/>
      </xdr:nvPicPr>
      <xdr:blipFill>
        <a:blip r:embed="rId2"/>
        <a:stretch/>
      </xdr:blipFill>
      <xdr:spPr>
        <a:xfrm>
          <a:off x="114480" y="95400"/>
          <a:ext cx="437760" cy="4377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1236"/>
    <pageSetUpPr fitToPage="true"/>
  </sheetPr>
  <dimension ref="A1:L34"/>
  <sheetViews>
    <sheetView showFormulas="false" showGridLines="false" showRowColHeaders="fals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11" min="3" style="0" width="11"/>
    <col collapsed="false" customWidth="true" hidden="false" outlineLevel="0" max="12" min="12" style="0" width="3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6" hidden="false" customHeight="true" outlineLevel="0" collapsed="false">
      <c r="A2" s="1"/>
      <c r="B2" s="1"/>
      <c r="C2" s="1"/>
      <c r="D2" s="2" t="s">
        <v>0</v>
      </c>
      <c r="E2" s="2"/>
      <c r="F2" s="2"/>
      <c r="G2" s="2"/>
      <c r="H2" s="2"/>
      <c r="I2" s="2"/>
      <c r="J2" s="2"/>
      <c r="K2" s="2"/>
      <c r="L2" s="1"/>
    </row>
    <row r="3" customFormat="false" ht="21.75" hidden="false" customHeight="true" outlineLevel="0" collapsed="false">
      <c r="A3" s="1"/>
      <c r="B3" s="1"/>
      <c r="C3" s="1"/>
      <c r="D3" s="3" t="s">
        <v>1</v>
      </c>
      <c r="E3" s="3"/>
      <c r="F3" s="3"/>
      <c r="G3" s="3"/>
      <c r="H3" s="3"/>
      <c r="I3" s="3"/>
      <c r="J3" s="3"/>
      <c r="K3" s="3"/>
      <c r="L3" s="1"/>
    </row>
    <row r="4" customFormat="false" ht="21.75" hidden="false" customHeight="true" outlineLevel="0" collapsed="false">
      <c r="A4" s="1"/>
      <c r="B4" s="1"/>
      <c r="C4" s="1"/>
      <c r="D4" s="4" t="s">
        <v>2</v>
      </c>
      <c r="E4" s="4"/>
      <c r="F4" s="4"/>
      <c r="G4" s="4"/>
      <c r="H4" s="4"/>
      <c r="I4" s="4"/>
      <c r="J4" s="4"/>
      <c r="K4" s="4"/>
      <c r="L4" s="1"/>
    </row>
    <row r="5" customFormat="false" ht="13.5" hidden="false" customHeight="tru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customFormat="false" ht="4.5" hidden="false" customHeight="true" outlineLevel="0" collapsed="false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12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customFormat="false" ht="30" hidden="false" customHeight="true" outlineLevel="0" collapsed="false">
      <c r="A8" s="6"/>
      <c r="B8" s="7" t="s">
        <v>3</v>
      </c>
      <c r="C8" s="7"/>
      <c r="D8" s="7"/>
      <c r="E8" s="7"/>
      <c r="F8" s="7"/>
      <c r="G8" s="7"/>
      <c r="H8" s="7"/>
      <c r="I8" s="7"/>
      <c r="J8" s="7"/>
      <c r="K8" s="7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customFormat="false" ht="24" hidden="false" customHeight="true" outlineLevel="0" collapsed="false">
      <c r="A10" s="6"/>
      <c r="B10" s="8" t="s">
        <v>4</v>
      </c>
      <c r="C10" s="9" t="s">
        <v>5</v>
      </c>
      <c r="D10" s="9"/>
      <c r="E10" s="9"/>
      <c r="F10" s="9"/>
      <c r="G10" s="9"/>
      <c r="H10" s="9"/>
      <c r="I10" s="9"/>
      <c r="J10" s="10" t="s">
        <v>6</v>
      </c>
      <c r="K10" s="10"/>
      <c r="L10" s="6"/>
    </row>
    <row r="11" customFormat="false" ht="42" hidden="false" customHeight="true" outlineLevel="0" collapsed="false">
      <c r="A11" s="6"/>
      <c r="B11" s="8"/>
      <c r="C11" s="11" t="s">
        <v>7</v>
      </c>
      <c r="D11" s="11"/>
      <c r="E11" s="11"/>
      <c r="F11" s="11"/>
      <c r="G11" s="11"/>
      <c r="H11" s="11"/>
      <c r="I11" s="11"/>
      <c r="J11" s="10"/>
      <c r="K11" s="10"/>
      <c r="L11" s="6"/>
    </row>
    <row r="12" customFormat="false" ht="9.75" hidden="false" customHeight="tru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24" hidden="false" customHeight="true" outlineLevel="0" collapsed="false">
      <c r="A13" s="6"/>
      <c r="B13" s="8" t="s">
        <v>8</v>
      </c>
      <c r="C13" s="9" t="s">
        <v>9</v>
      </c>
      <c r="D13" s="9"/>
      <c r="E13" s="9"/>
      <c r="F13" s="9"/>
      <c r="G13" s="9"/>
      <c r="H13" s="9"/>
      <c r="I13" s="9"/>
      <c r="J13" s="10" t="s">
        <v>6</v>
      </c>
      <c r="K13" s="10"/>
      <c r="L13" s="6"/>
    </row>
    <row r="14" customFormat="false" ht="42" hidden="false" customHeight="true" outlineLevel="0" collapsed="false">
      <c r="A14" s="6"/>
      <c r="B14" s="8"/>
      <c r="C14" s="11" t="s">
        <v>10</v>
      </c>
      <c r="D14" s="11"/>
      <c r="E14" s="11"/>
      <c r="F14" s="11"/>
      <c r="G14" s="11"/>
      <c r="H14" s="11"/>
      <c r="I14" s="11"/>
      <c r="J14" s="10"/>
      <c r="K14" s="10"/>
      <c r="L14" s="6"/>
    </row>
    <row r="15" customFormat="false" ht="9.75" hidden="false" customHeight="tru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24" hidden="false" customHeight="true" outlineLevel="0" collapsed="false">
      <c r="A16" s="6"/>
      <c r="B16" s="8" t="s">
        <v>11</v>
      </c>
      <c r="C16" s="9" t="s">
        <v>12</v>
      </c>
      <c r="D16" s="9"/>
      <c r="E16" s="9"/>
      <c r="F16" s="9"/>
      <c r="G16" s="9"/>
      <c r="H16" s="9"/>
      <c r="I16" s="9"/>
      <c r="J16" s="10" t="s">
        <v>13</v>
      </c>
      <c r="K16" s="10"/>
      <c r="L16" s="6"/>
    </row>
    <row r="17" customFormat="false" ht="42" hidden="false" customHeight="true" outlineLevel="0" collapsed="false">
      <c r="A17" s="6"/>
      <c r="B17" s="8"/>
      <c r="C17" s="11" t="s">
        <v>14</v>
      </c>
      <c r="D17" s="11"/>
      <c r="E17" s="11"/>
      <c r="F17" s="11"/>
      <c r="G17" s="11"/>
      <c r="H17" s="11"/>
      <c r="I17" s="11"/>
      <c r="J17" s="10"/>
      <c r="K17" s="10"/>
      <c r="L17" s="6"/>
    </row>
    <row r="18" customFormat="false" ht="9.75" hidden="false" customHeight="tru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27.75" hidden="false" customHeight="true" outlineLevel="0" collapsed="false">
      <c r="A19" s="6"/>
      <c r="B19" s="12" t="s">
        <v>15</v>
      </c>
      <c r="C19" s="12"/>
      <c r="D19" s="12"/>
      <c r="E19" s="12"/>
      <c r="F19" s="12"/>
      <c r="G19" s="12"/>
      <c r="H19" s="12"/>
      <c r="I19" s="12"/>
      <c r="J19" s="12"/>
      <c r="K19" s="12"/>
      <c r="L19" s="6"/>
    </row>
    <row r="20" customFormat="false" ht="21.75" hidden="false" customHeight="true" outlineLevel="0" collapsed="false">
      <c r="A20" s="6"/>
      <c r="B20" s="13" t="s">
        <v>16</v>
      </c>
      <c r="C20" s="13"/>
      <c r="D20" s="13"/>
      <c r="E20" s="14" t="s">
        <v>17</v>
      </c>
      <c r="F20" s="14"/>
      <c r="G20" s="14"/>
      <c r="H20" s="14"/>
      <c r="I20" s="14"/>
      <c r="J20" s="14"/>
      <c r="K20" s="14"/>
      <c r="L20" s="6"/>
    </row>
    <row r="21" customFormat="false" ht="21.75" hidden="false" customHeight="true" outlineLevel="0" collapsed="false">
      <c r="A21" s="6"/>
      <c r="B21" s="15" t="s">
        <v>18</v>
      </c>
      <c r="C21" s="15"/>
      <c r="D21" s="15"/>
      <c r="E21" s="14" t="s">
        <v>19</v>
      </c>
      <c r="F21" s="14"/>
      <c r="G21" s="14"/>
      <c r="H21" s="14"/>
      <c r="I21" s="14"/>
      <c r="J21" s="14"/>
      <c r="K21" s="14"/>
      <c r="L21" s="6"/>
    </row>
    <row r="22" customFormat="false" ht="21.75" hidden="false" customHeight="true" outlineLevel="0" collapsed="false">
      <c r="A22" s="6"/>
      <c r="B22" s="16" t="s">
        <v>20</v>
      </c>
      <c r="C22" s="16"/>
      <c r="D22" s="16"/>
      <c r="E22" s="14" t="s">
        <v>21</v>
      </c>
      <c r="F22" s="14"/>
      <c r="G22" s="14"/>
      <c r="H22" s="14"/>
      <c r="I22" s="14"/>
      <c r="J22" s="14"/>
      <c r="K22" s="14"/>
      <c r="L22" s="6"/>
    </row>
    <row r="23" customFormat="false" ht="12" hidden="false" customHeight="tru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customFormat="false" ht="27.75" hidden="false" customHeight="true" outlineLevel="0" collapsed="false">
      <c r="A24" s="6"/>
      <c r="B24" s="12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6"/>
    </row>
    <row r="25" customFormat="false" ht="30" hidden="false" customHeight="true" outlineLevel="0" collapsed="false">
      <c r="A25" s="6"/>
      <c r="B25" s="17" t="s">
        <v>23</v>
      </c>
      <c r="C25" s="17"/>
      <c r="D25" s="17"/>
      <c r="E25" s="17"/>
      <c r="F25" s="17"/>
      <c r="G25" s="17"/>
      <c r="H25" s="17"/>
      <c r="I25" s="17"/>
      <c r="J25" s="17"/>
      <c r="K25" s="17"/>
      <c r="L25" s="6"/>
    </row>
    <row r="26" customFormat="false" ht="30" hidden="false" customHeight="true" outlineLevel="0" collapsed="false">
      <c r="A26" s="6"/>
      <c r="B26" s="17" t="s">
        <v>24</v>
      </c>
      <c r="C26" s="17"/>
      <c r="D26" s="17"/>
      <c r="E26" s="17"/>
      <c r="F26" s="17"/>
      <c r="G26" s="17"/>
      <c r="H26" s="17"/>
      <c r="I26" s="17"/>
      <c r="J26" s="17"/>
      <c r="K26" s="17"/>
      <c r="L26" s="6"/>
    </row>
    <row r="27" customFormat="false" ht="30" hidden="false" customHeight="true" outlineLevel="0" collapsed="false">
      <c r="A27" s="6"/>
      <c r="B27" s="17" t="s">
        <v>25</v>
      </c>
      <c r="C27" s="17"/>
      <c r="D27" s="17"/>
      <c r="E27" s="17"/>
      <c r="F27" s="17"/>
      <c r="G27" s="17"/>
      <c r="H27" s="17"/>
      <c r="I27" s="17"/>
      <c r="J27" s="17"/>
      <c r="K27" s="17"/>
      <c r="L27" s="6"/>
    </row>
    <row r="28" customFormat="false" ht="30" hidden="false" customHeight="true" outlineLevel="0" collapsed="false">
      <c r="A28" s="6"/>
      <c r="B28" s="17" t="s">
        <v>26</v>
      </c>
      <c r="C28" s="17"/>
      <c r="D28" s="17"/>
      <c r="E28" s="17"/>
      <c r="F28" s="17"/>
      <c r="G28" s="17"/>
      <c r="H28" s="17"/>
      <c r="I28" s="17"/>
      <c r="J28" s="17"/>
      <c r="K28" s="17"/>
      <c r="L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25.5" hidden="false" customHeight="true" outlineLevel="0" collapsed="false">
      <c r="A31" s="6"/>
      <c r="B31" s="18" t="s">
        <v>27</v>
      </c>
      <c r="C31" s="18"/>
      <c r="D31" s="18"/>
      <c r="E31" s="18"/>
      <c r="F31" s="18"/>
      <c r="G31" s="18"/>
      <c r="H31" s="18"/>
      <c r="I31" s="18"/>
      <c r="J31" s="18"/>
      <c r="K31" s="18"/>
      <c r="L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</sheetData>
  <mergeCells count="30">
    <mergeCell ref="D2:K2"/>
    <mergeCell ref="D3:K3"/>
    <mergeCell ref="D4:K4"/>
    <mergeCell ref="A6:L6"/>
    <mergeCell ref="B8:K8"/>
    <mergeCell ref="B10:B11"/>
    <mergeCell ref="C10:I10"/>
    <mergeCell ref="J10:K11"/>
    <mergeCell ref="C11:I11"/>
    <mergeCell ref="B13:B14"/>
    <mergeCell ref="C13:I13"/>
    <mergeCell ref="J13:K14"/>
    <mergeCell ref="C14:I14"/>
    <mergeCell ref="B16:B17"/>
    <mergeCell ref="C16:I16"/>
    <mergeCell ref="J16:K17"/>
    <mergeCell ref="C17:I17"/>
    <mergeCell ref="B19:K19"/>
    <mergeCell ref="B20:D20"/>
    <mergeCell ref="E20:K20"/>
    <mergeCell ref="B21:D21"/>
    <mergeCell ref="E21:K21"/>
    <mergeCell ref="B22:D22"/>
    <mergeCell ref="E22:K22"/>
    <mergeCell ref="B24:K24"/>
    <mergeCell ref="B25:K25"/>
    <mergeCell ref="B26:K26"/>
    <mergeCell ref="B27:K27"/>
    <mergeCell ref="B28:K28"/>
    <mergeCell ref="B31:K31"/>
  </mergeCells>
  <hyperlinks>
    <hyperlink ref="J10" location="'Meu custo por hora'!A1" display="Abrir aba  →"/>
    <hyperlink ref="J13" location="'Meus serviços'!A1" display="Abrir aba  →"/>
    <hyperlink ref="J16" location="'Meu Painel'!A1" display="Ver painel 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1E78"/>
    <pageSetUpPr fitToPage="true"/>
  </sheetPr>
  <dimension ref="A1:D33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4" min="4" style="0" width="3"/>
  </cols>
  <sheetData>
    <row r="1" customFormat="false" ht="51.75" hidden="false" customHeight="true" outlineLevel="0" collapsed="false">
      <c r="A1" s="19" t="s">
        <v>28</v>
      </c>
      <c r="B1" s="19"/>
      <c r="C1" s="19"/>
      <c r="D1" s="1"/>
    </row>
    <row r="2" customFormat="false" ht="24" hidden="false" customHeight="true" outlineLevel="0" collapsed="false">
      <c r="A2" s="20" t="s">
        <v>29</v>
      </c>
      <c r="B2" s="20"/>
      <c r="C2" s="20"/>
      <c r="D2" s="20"/>
    </row>
    <row r="3" customFormat="false" ht="3.75" hidden="false" customHeight="true" outlineLevel="0" collapsed="false">
      <c r="A3" s="5"/>
      <c r="B3" s="5"/>
      <c r="C3" s="5"/>
      <c r="D3" s="5"/>
    </row>
    <row r="4" customFormat="false" ht="24" hidden="false" customHeight="true" outlineLevel="0" collapsed="false">
      <c r="A4" s="21" t="s">
        <v>30</v>
      </c>
      <c r="B4" s="21"/>
      <c r="C4" s="21"/>
      <c r="D4" s="6"/>
    </row>
    <row r="5" customFormat="false" ht="21.75" hidden="false" customHeight="true" outlineLevel="0" collapsed="false">
      <c r="A5" s="22" t="s">
        <v>31</v>
      </c>
      <c r="B5" s="23" t="n">
        <v>600</v>
      </c>
      <c r="C5" s="24" t="s">
        <v>32</v>
      </c>
      <c r="D5" s="6"/>
    </row>
    <row r="6" customFormat="false" ht="21.75" hidden="false" customHeight="true" outlineLevel="0" collapsed="false">
      <c r="A6" s="22" t="s">
        <v>33</v>
      </c>
      <c r="B6" s="23" t="n">
        <v>150</v>
      </c>
      <c r="C6" s="24"/>
      <c r="D6" s="6"/>
    </row>
    <row r="7" customFormat="false" ht="21.75" hidden="false" customHeight="true" outlineLevel="0" collapsed="false">
      <c r="A7" s="22" t="s">
        <v>34</v>
      </c>
      <c r="B7" s="23" t="n">
        <v>80</v>
      </c>
      <c r="C7" s="24" t="s">
        <v>35</v>
      </c>
      <c r="D7" s="6"/>
    </row>
    <row r="8" customFormat="false" ht="21.75" hidden="false" customHeight="true" outlineLevel="0" collapsed="false">
      <c r="A8" s="22" t="s">
        <v>36</v>
      </c>
      <c r="B8" s="23" t="n">
        <v>60</v>
      </c>
      <c r="C8" s="24"/>
      <c r="D8" s="6"/>
    </row>
    <row r="9" customFormat="false" ht="21.75" hidden="false" customHeight="true" outlineLevel="0" collapsed="false">
      <c r="A9" s="22" t="s">
        <v>37</v>
      </c>
      <c r="B9" s="23" t="n">
        <v>50</v>
      </c>
      <c r="C9" s="24"/>
      <c r="D9" s="6"/>
    </row>
    <row r="10" customFormat="false" ht="21.75" hidden="false" customHeight="true" outlineLevel="0" collapsed="false">
      <c r="A10" s="22" t="s">
        <v>38</v>
      </c>
      <c r="B10" s="23" t="n">
        <v>70</v>
      </c>
      <c r="C10" s="24" t="s">
        <v>39</v>
      </c>
      <c r="D10" s="6"/>
    </row>
    <row r="11" customFormat="false" ht="21.75" hidden="false" customHeight="true" outlineLevel="0" collapsed="false">
      <c r="A11" s="22" t="s">
        <v>40</v>
      </c>
      <c r="B11" s="23" t="n">
        <v>0</v>
      </c>
      <c r="C11" s="24"/>
      <c r="D11" s="6"/>
    </row>
    <row r="12" customFormat="false" ht="21.75" hidden="false" customHeight="true" outlineLevel="0" collapsed="false">
      <c r="A12" s="25" t="s">
        <v>41</v>
      </c>
      <c r="B12" s="26" t="n">
        <f aca="false">SUM(B5:B11)</f>
        <v>1010</v>
      </c>
      <c r="C12" s="6"/>
      <c r="D12" s="6"/>
    </row>
    <row r="13" customFormat="false" ht="7.5" hidden="false" customHeight="true" outlineLevel="0" collapsed="false">
      <c r="A13" s="6"/>
      <c r="B13" s="6"/>
      <c r="C13" s="6"/>
      <c r="D13" s="6"/>
    </row>
    <row r="14" customFormat="false" ht="24" hidden="false" customHeight="true" outlineLevel="0" collapsed="false">
      <c r="A14" s="21" t="s">
        <v>42</v>
      </c>
      <c r="B14" s="21"/>
      <c r="C14" s="21"/>
      <c r="D14" s="6"/>
    </row>
    <row r="15" customFormat="false" ht="21.75" hidden="false" customHeight="true" outlineLevel="0" collapsed="false">
      <c r="A15" s="22" t="s">
        <v>43</v>
      </c>
      <c r="B15" s="23" t="n">
        <v>3000</v>
      </c>
      <c r="C15" s="24" t="s">
        <v>44</v>
      </c>
      <c r="D15" s="6"/>
    </row>
    <row r="16" customFormat="false" ht="7.5" hidden="false" customHeight="true" outlineLevel="0" collapsed="false">
      <c r="A16" s="6"/>
      <c r="B16" s="6"/>
      <c r="C16" s="6"/>
      <c r="D16" s="6"/>
    </row>
    <row r="17" customFormat="false" ht="24" hidden="false" customHeight="true" outlineLevel="0" collapsed="false">
      <c r="A17" s="21" t="s">
        <v>45</v>
      </c>
      <c r="B17" s="21"/>
      <c r="C17" s="21"/>
      <c r="D17" s="6"/>
    </row>
    <row r="18" customFormat="false" ht="21.75" hidden="false" customHeight="true" outlineLevel="0" collapsed="false">
      <c r="A18" s="22" t="s">
        <v>46</v>
      </c>
      <c r="B18" s="27" t="n">
        <v>8</v>
      </c>
      <c r="C18" s="24" t="s">
        <v>47</v>
      </c>
      <c r="D18" s="6"/>
    </row>
    <row r="19" customFormat="false" ht="21.75" hidden="false" customHeight="true" outlineLevel="0" collapsed="false">
      <c r="A19" s="22" t="s">
        <v>48</v>
      </c>
      <c r="B19" s="28" t="n">
        <v>5</v>
      </c>
      <c r="C19" s="24"/>
      <c r="D19" s="6"/>
    </row>
    <row r="20" customFormat="false" ht="21.75" hidden="false" customHeight="true" outlineLevel="0" collapsed="false">
      <c r="A20" s="22" t="s">
        <v>49</v>
      </c>
      <c r="B20" s="29" t="n">
        <v>0.65</v>
      </c>
      <c r="C20" s="24" t="s">
        <v>50</v>
      </c>
      <c r="D20" s="6"/>
    </row>
    <row r="21" customFormat="false" ht="7.5" hidden="false" customHeight="true" outlineLevel="0" collapsed="false">
      <c r="A21" s="6"/>
      <c r="B21" s="6"/>
      <c r="C21" s="6"/>
      <c r="D21" s="6"/>
    </row>
    <row r="22" customFormat="false" ht="24" hidden="false" customHeight="true" outlineLevel="0" collapsed="false">
      <c r="A22" s="21" t="s">
        <v>20</v>
      </c>
      <c r="B22" s="21"/>
      <c r="C22" s="21"/>
      <c r="D22" s="6"/>
    </row>
    <row r="23" customFormat="false" ht="21.75" hidden="false" customHeight="true" outlineLevel="0" collapsed="false">
      <c r="A23" s="22" t="s">
        <v>51</v>
      </c>
      <c r="B23" s="30" t="n">
        <v>4.33</v>
      </c>
      <c r="C23" s="24" t="s">
        <v>52</v>
      </c>
      <c r="D23" s="6"/>
    </row>
    <row r="24" customFormat="false" ht="21.75" hidden="false" customHeight="true" outlineLevel="0" collapsed="false">
      <c r="A24" s="22" t="s">
        <v>53</v>
      </c>
      <c r="B24" s="31" t="n">
        <f aca="false">B18*B19*B23*B20</f>
        <v>112.58</v>
      </c>
      <c r="C24" s="6"/>
      <c r="D24" s="6"/>
    </row>
    <row r="25" customFormat="false" ht="39.75" hidden="false" customHeight="true" outlineLevel="0" collapsed="false">
      <c r="A25" s="32" t="s">
        <v>54</v>
      </c>
      <c r="B25" s="33" t="n">
        <f aca="false">IFERROR((B12+B15)/B24,0)</f>
        <v>35.6191152957897</v>
      </c>
      <c r="C25" s="24" t="s">
        <v>55</v>
      </c>
      <c r="D25" s="6"/>
    </row>
    <row r="26" customFormat="false" ht="7.5" hidden="false" customHeight="true" outlineLevel="0" collapsed="false">
      <c r="A26" s="6"/>
      <c r="B26" s="6"/>
      <c r="C26" s="6"/>
      <c r="D26" s="6"/>
    </row>
    <row r="27" customFormat="false" ht="24" hidden="false" customHeight="true" outlineLevel="0" collapsed="false">
      <c r="A27" s="21" t="s">
        <v>56</v>
      </c>
      <c r="B27" s="21"/>
      <c r="C27" s="21"/>
      <c r="D27" s="6"/>
    </row>
    <row r="28" customFormat="false" ht="21.75" hidden="false" customHeight="true" outlineLevel="0" collapsed="false">
      <c r="A28" s="22" t="s">
        <v>57</v>
      </c>
      <c r="B28" s="29" t="n">
        <v>0.04</v>
      </c>
      <c r="C28" s="24" t="s">
        <v>58</v>
      </c>
      <c r="D28" s="6"/>
    </row>
    <row r="29" customFormat="false" ht="21.75" hidden="false" customHeight="true" outlineLevel="0" collapsed="false">
      <c r="A29" s="22" t="s">
        <v>59</v>
      </c>
      <c r="B29" s="29" t="n">
        <v>0.1</v>
      </c>
      <c r="C29" s="24" t="s">
        <v>60</v>
      </c>
      <c r="D29" s="6"/>
    </row>
    <row r="30" customFormat="false" ht="15" hidden="false" customHeight="false" outlineLevel="0" collapsed="false">
      <c r="A30" s="6"/>
      <c r="B30" s="6"/>
      <c r="C30" s="6"/>
      <c r="D30" s="6"/>
    </row>
    <row r="31" customFormat="false" ht="36" hidden="false" customHeight="true" outlineLevel="0" collapsed="false">
      <c r="A31" s="34" t="s">
        <v>61</v>
      </c>
      <c r="B31" s="34"/>
      <c r="C31" s="34"/>
      <c r="D31" s="6"/>
    </row>
    <row r="32" customFormat="false" ht="15" hidden="false" customHeight="false" outlineLevel="0" collapsed="false">
      <c r="A32" s="6"/>
      <c r="B32" s="6"/>
      <c r="C32" s="6"/>
      <c r="D32" s="6"/>
    </row>
    <row r="33" customFormat="false" ht="15" hidden="false" customHeight="false" outlineLevel="0" collapsed="false">
      <c r="A33" s="6"/>
      <c r="B33" s="6"/>
      <c r="C33" s="6"/>
      <c r="D33" s="6"/>
    </row>
  </sheetData>
  <mergeCells count="9">
    <mergeCell ref="A1:C1"/>
    <mergeCell ref="A2:D2"/>
    <mergeCell ref="A3:D3"/>
    <mergeCell ref="A4:C4"/>
    <mergeCell ref="A14:C14"/>
    <mergeCell ref="A17:C17"/>
    <mergeCell ref="A22:C22"/>
    <mergeCell ref="A27:C27"/>
    <mergeCell ref="A31:C31"/>
  </mergeCells>
  <dataValidations count="7">
    <dataValidation allowBlank="false" error="Digite um valor entre 0.5 e 24 (porcentagem: ex. 65%)." errorStyle="stop" errorTitle="Valor fora do esperado" operator="between" showDropDown="false" showErrorMessage="true" showInputMessage="false" sqref="B18" type="decimal">
      <formula1>0.5</formula1>
      <formula2>24</formula2>
    </dataValidation>
    <dataValidation allowBlank="false" error="Digite um valor entre 1 e 7 (porcentagem: ex. 65%)." errorStyle="stop" errorTitle="Valor fora do esperado" operator="between" showDropDown="false" showErrorMessage="true" showInputMessage="false" sqref="B19" type="whole">
      <formula1>1</formula1>
      <formula2>7</formula2>
    </dataValidation>
    <dataValidation allowBlank="false" error="Digite um valor entre 0.05 e 1 (porcentagem: ex. 65%)." errorStyle="stop" errorTitle="Valor fora do esperado" operator="between" showDropDown="false" showErrorMessage="true" showInputMessage="false" sqref="B20" type="decimal">
      <formula1>0.05</formula1>
      <formula2>1</formula2>
    </dataValidation>
    <dataValidation allowBlank="false" error="Digite um valor entre 0 e 0.3 (porcentagem: ex. 65%)." errorStyle="stop" errorTitle="Valor fora do esperado" operator="between" showDropDown="false" showErrorMessage="true" showInputMessage="false" sqref="B28" type="decimal">
      <formula1>0</formula1>
      <formula2>0.3</formula2>
    </dataValidation>
    <dataValidation allowBlank="false" error="Digite um valor entre 0 e 0.5 (porcentagem: ex. 65%)." errorStyle="stop" errorTitle="Valor fora do esperado" operator="between" showDropDown="false" showErrorMessage="true" showInputMessage="false" sqref="B29" type="decimal">
      <formula1>0</formula1>
      <formula2>0.5</formula2>
    </dataValidation>
    <dataValidation allowBlank="true" error="Digite um valor em reais (ex.: 150)." errorStyle="stop" errorTitle="Valor em reais" operator="greaterThanOrEqual" prompt="Digite quanto você gasta por mês com isso, em reais. Se não tem esse gasto, ponha 0." promptTitle="Gasto do mês" showDropDown="false" showErrorMessage="true" showInputMessage="true" sqref="B5:B11" type="decimal">
      <formula1>0</formula1>
      <formula2>0</formula2>
    </dataValidation>
    <dataValidation allowBlank="true" error="Digite um valor em reais (ex.: 3000)." errorStyle="stop" errorTitle="Valor em reais" operator="greaterThanOrEqual" prompt="Quanto você quer tirar para você por mês, além dos gastos." promptTitle="Seu salário" showDropDown="false" showErrorMessage="true" showInputMessage="true" sqref="B15" type="decimal">
      <formula1>0</formula1>
      <formula2>0</formula2>
    </dataValidation>
  </dataValidations>
  <hyperlinks>
    <hyperlink ref="A31" location="'Meus serviços'!A1" display="Pronto! Próximo passo: cadastrar seus serviços 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84C"/>
    <pageSetUpPr fitToPage="true"/>
  </sheetPr>
  <dimension ref="A1:J37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30"/>
    <col collapsed="false" customWidth="true" hidden="false" outlineLevel="0" max="9" min="7" style="0" width="15"/>
    <col collapsed="false" customWidth="true" hidden="false" outlineLevel="0" max="10" min="10" style="0" width="3"/>
  </cols>
  <sheetData>
    <row r="1" customFormat="false" ht="51.75" hidden="false" customHeight="true" outlineLevel="0" collapsed="false">
      <c r="A1" s="19" t="s">
        <v>62</v>
      </c>
      <c r="B1" s="19"/>
      <c r="C1" s="19"/>
      <c r="D1" s="19"/>
      <c r="E1" s="19"/>
      <c r="F1" s="19"/>
      <c r="G1" s="10" t="s">
        <v>63</v>
      </c>
      <c r="H1" s="10"/>
      <c r="I1" s="10"/>
      <c r="J1" s="1"/>
    </row>
    <row r="2" customFormat="false" ht="24" hidden="false" customHeight="true" outlineLevel="0" collapsed="false">
      <c r="A2" s="20" t="s">
        <v>64</v>
      </c>
      <c r="B2" s="20"/>
      <c r="C2" s="20"/>
      <c r="D2" s="20"/>
      <c r="E2" s="20"/>
      <c r="F2" s="20"/>
      <c r="G2" s="20"/>
      <c r="H2" s="20"/>
      <c r="I2" s="20"/>
      <c r="J2" s="20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</row>
    <row r="4" customFormat="false" ht="37.5" hidden="false" customHeight="true" outlineLevel="0" collapsed="false">
      <c r="A4" s="35" t="s">
        <v>65</v>
      </c>
      <c r="B4" s="35" t="s">
        <v>66</v>
      </c>
      <c r="C4" s="35" t="s">
        <v>67</v>
      </c>
      <c r="D4" s="35" t="s">
        <v>68</v>
      </c>
      <c r="E4" s="36" t="s">
        <v>69</v>
      </c>
      <c r="F4" s="36" t="s">
        <v>70</v>
      </c>
      <c r="G4" s="37" t="s">
        <v>71</v>
      </c>
      <c r="H4" s="37" t="s">
        <v>72</v>
      </c>
      <c r="I4" s="37" t="s">
        <v>73</v>
      </c>
      <c r="J4" s="6"/>
    </row>
    <row r="5" customFormat="false" ht="21" hidden="false" customHeight="true" outlineLevel="0" collapsed="false">
      <c r="A5" s="38" t="s">
        <v>74</v>
      </c>
      <c r="B5" s="39" t="n">
        <v>60</v>
      </c>
      <c r="C5" s="40" t="n">
        <v>6</v>
      </c>
      <c r="D5" s="40" t="n">
        <v>80</v>
      </c>
      <c r="E5" s="41" t="n">
        <f aca="false">IF(B5="","",ROUNDUP(H5/(1-'Meu custo por hora'!$B$28-'Meu custo por hora'!$B$29),0))</f>
        <v>49</v>
      </c>
      <c r="F5" s="42" t="str">
        <f aca="false">IF(OR(B5="",D5=""),"",IF(D5&gt;=E5,"OK: cobre custos e margem",IF(I5&gt;=0,"Atenção: pouca folga","PREJUÍZO: abaixo do custo")))</f>
        <v>OK: cobre custos e margem</v>
      </c>
      <c r="G5" s="43" t="n">
        <f aca="false">IF(B5="","",B5/60*'Meu custo por hora'!$B$25)</f>
        <v>35.6191152957897</v>
      </c>
      <c r="H5" s="43" t="n">
        <f aca="false">IF(B5="","",G5+C5)</f>
        <v>41.6191152957897</v>
      </c>
      <c r="I5" s="44" t="n">
        <f aca="false">IF(OR(B5="",D5=""),"",D5*(1-'Meu custo por hora'!$B$28)-H5)</f>
        <v>35.1808847042103</v>
      </c>
      <c r="J5" s="6"/>
    </row>
    <row r="6" customFormat="false" ht="21" hidden="false" customHeight="true" outlineLevel="0" collapsed="false">
      <c r="A6" s="38" t="s">
        <v>75</v>
      </c>
      <c r="B6" s="39" t="n">
        <v>45</v>
      </c>
      <c r="C6" s="40" t="n">
        <v>6</v>
      </c>
      <c r="D6" s="40" t="n">
        <v>35</v>
      </c>
      <c r="E6" s="41" t="n">
        <f aca="false">IF(B6="","",ROUNDUP(H6/(1-'Meu custo por hora'!$B$28-'Meu custo por hora'!$B$29),0))</f>
        <v>39</v>
      </c>
      <c r="F6" s="42" t="str">
        <f aca="false">IF(OR(B6="",D6=""),"",IF(D6&gt;=E6,"OK: cobre custos e margem",IF(I6&gt;=0,"Atenção: pouca folga","PREJUÍZO: abaixo do custo")))</f>
        <v>Atenção: pouca folga</v>
      </c>
      <c r="G6" s="43" t="n">
        <f aca="false">IF(B6="","",B6/60*'Meu custo por hora'!$B$25)</f>
        <v>26.7143364718422</v>
      </c>
      <c r="H6" s="43" t="n">
        <f aca="false">IF(B6="","",G6+C6)</f>
        <v>32.7143364718422</v>
      </c>
      <c r="I6" s="44" t="n">
        <f aca="false">IF(OR(B6="",D6=""),"",D6*(1-'Meu custo por hora'!$B$28)-H6)</f>
        <v>0.885663528157757</v>
      </c>
      <c r="J6" s="6"/>
    </row>
    <row r="7" customFormat="false" ht="21" hidden="false" customHeight="true" outlineLevel="0" collapsed="false">
      <c r="A7" s="38" t="s">
        <v>76</v>
      </c>
      <c r="B7" s="39" t="n">
        <v>45</v>
      </c>
      <c r="C7" s="40" t="n">
        <v>4</v>
      </c>
      <c r="D7" s="40" t="n">
        <v>30</v>
      </c>
      <c r="E7" s="41" t="n">
        <f aca="false">IF(B7="","",ROUNDUP(H7/(1-'Meu custo por hora'!$B$28-'Meu custo por hora'!$B$29),0))</f>
        <v>36</v>
      </c>
      <c r="F7" s="42" t="str">
        <f aca="false">IF(OR(B7="",D7=""),"",IF(D7&gt;=E7,"OK: cobre custos e margem",IF(I7&gt;=0,"Atenção: pouca folga","PREJUÍZO: abaixo do custo")))</f>
        <v>PREJUÍZO: abaixo do custo</v>
      </c>
      <c r="G7" s="43" t="n">
        <f aca="false">IF(B7="","",B7/60*'Meu custo por hora'!$B$25)</f>
        <v>26.7143364718422</v>
      </c>
      <c r="H7" s="43" t="n">
        <f aca="false">IF(B7="","",G7+C7)</f>
        <v>30.7143364718422</v>
      </c>
      <c r="I7" s="44" t="n">
        <f aca="false">IF(OR(B7="",D7=""),"",D7*(1-'Meu custo por hora'!$B$28)-H7)</f>
        <v>-1.91433647184225</v>
      </c>
      <c r="J7" s="6"/>
    </row>
    <row r="8" customFormat="false" ht="21" hidden="false" customHeight="true" outlineLevel="0" collapsed="false">
      <c r="A8" s="38" t="s">
        <v>77</v>
      </c>
      <c r="B8" s="39" t="n">
        <v>30</v>
      </c>
      <c r="C8" s="40" t="n">
        <v>3</v>
      </c>
      <c r="D8" s="40" t="n">
        <v>40</v>
      </c>
      <c r="E8" s="41" t="n">
        <f aca="false">IF(B8="","",ROUNDUP(H8/(1-'Meu custo por hora'!$B$28-'Meu custo por hora'!$B$29),0))</f>
        <v>25</v>
      </c>
      <c r="F8" s="42" t="str">
        <f aca="false">IF(OR(B8="",D8=""),"",IF(D8&gt;=E8,"OK: cobre custos e margem",IF(I8&gt;=0,"Atenção: pouca folga","PREJUÍZO: abaixo do custo")))</f>
        <v>OK: cobre custos e margem</v>
      </c>
      <c r="G8" s="43" t="n">
        <f aca="false">IF(B8="","",B8/60*'Meu custo por hora'!$B$25)</f>
        <v>17.8095576478948</v>
      </c>
      <c r="H8" s="43" t="n">
        <f aca="false">IF(B8="","",G8+C8)</f>
        <v>20.8095576478948</v>
      </c>
      <c r="I8" s="44" t="n">
        <f aca="false">IF(OR(B8="",D8=""),"",D8*(1-'Meu custo por hora'!$B$28)-H8)</f>
        <v>17.5904423521052</v>
      </c>
      <c r="J8" s="6"/>
    </row>
    <row r="9" customFormat="false" ht="21" hidden="false" customHeight="true" outlineLevel="0" collapsed="false">
      <c r="A9" s="38" t="s">
        <v>78</v>
      </c>
      <c r="B9" s="39" t="n">
        <v>75</v>
      </c>
      <c r="C9" s="40" t="n">
        <v>15</v>
      </c>
      <c r="D9" s="40" t="n">
        <v>120</v>
      </c>
      <c r="E9" s="41" t="n">
        <f aca="false">IF(B9="","",ROUNDUP(H9/(1-'Meu custo por hora'!$B$28-'Meu custo por hora'!$B$29),0))</f>
        <v>70</v>
      </c>
      <c r="F9" s="42" t="str">
        <f aca="false">IF(OR(B9="",D9=""),"",IF(D9&gt;=E9,"OK: cobre custos e margem",IF(I9&gt;=0,"Atenção: pouca folga","PREJUÍZO: abaixo do custo")))</f>
        <v>OK: cobre custos e margem</v>
      </c>
      <c r="G9" s="43" t="n">
        <f aca="false">IF(B9="","",B9/60*'Meu custo por hora'!$B$25)</f>
        <v>44.5238941197371</v>
      </c>
      <c r="H9" s="43" t="n">
        <f aca="false">IF(B9="","",G9+C9)</f>
        <v>59.5238941197371</v>
      </c>
      <c r="I9" s="44" t="n">
        <f aca="false">IF(OR(B9="",D9=""),"",D9*(1-'Meu custo por hora'!$B$28)-H9)</f>
        <v>55.6761058802629</v>
      </c>
      <c r="J9" s="6"/>
    </row>
    <row r="10" customFormat="false" ht="21" hidden="false" customHeight="true" outlineLevel="0" collapsed="false">
      <c r="A10" s="38" t="s">
        <v>79</v>
      </c>
      <c r="B10" s="39" t="n">
        <v>60</v>
      </c>
      <c r="C10" s="40" t="n">
        <v>8</v>
      </c>
      <c r="D10" s="40" t="n">
        <v>100</v>
      </c>
      <c r="E10" s="41" t="n">
        <f aca="false">IF(B10="","",ROUNDUP(H10/(1-'Meu custo por hora'!$B$28-'Meu custo por hora'!$B$29),0))</f>
        <v>51</v>
      </c>
      <c r="F10" s="42" t="str">
        <f aca="false">IF(OR(B10="",D10=""),"",IF(D10&gt;=E10,"OK: cobre custos e margem",IF(I10&gt;=0,"Atenção: pouca folga","PREJUÍZO: abaixo do custo")))</f>
        <v>OK: cobre custos e margem</v>
      </c>
      <c r="G10" s="43" t="n">
        <f aca="false">IF(B10="","",B10/60*'Meu custo por hora'!$B$25)</f>
        <v>35.6191152957897</v>
      </c>
      <c r="H10" s="43" t="n">
        <f aca="false">IF(B10="","",G10+C10)</f>
        <v>43.6191152957897</v>
      </c>
      <c r="I10" s="44" t="n">
        <f aca="false">IF(OR(B10="",D10=""),"",D10*(1-'Meu custo por hora'!$B$28)-H10)</f>
        <v>52.3808847042103</v>
      </c>
      <c r="J10" s="6"/>
    </row>
    <row r="11" customFormat="false" ht="21" hidden="false" customHeight="true" outlineLevel="0" collapsed="false">
      <c r="A11" s="38" t="s">
        <v>80</v>
      </c>
      <c r="B11" s="39" t="n">
        <v>120</v>
      </c>
      <c r="C11" s="40" t="n">
        <v>35</v>
      </c>
      <c r="D11" s="40" t="n">
        <v>180</v>
      </c>
      <c r="E11" s="41" t="n">
        <f aca="false">IF(B11="","",ROUNDUP(H11/(1-'Meu custo por hora'!$B$28-'Meu custo por hora'!$B$29),0))</f>
        <v>124</v>
      </c>
      <c r="F11" s="42" t="str">
        <f aca="false">IF(OR(B11="",D11=""),"",IF(D11&gt;=E11,"OK: cobre custos e margem",IF(I11&gt;=0,"Atenção: pouca folga","PREJUÍZO: abaixo do custo")))</f>
        <v>OK: cobre custos e margem</v>
      </c>
      <c r="G11" s="43" t="n">
        <f aca="false">IF(B11="","",B11/60*'Meu custo por hora'!$B$25)</f>
        <v>71.2382305915793</v>
      </c>
      <c r="H11" s="43" t="n">
        <f aca="false">IF(B11="","",G11+C11)</f>
        <v>106.238230591579</v>
      </c>
      <c r="I11" s="44" t="n">
        <f aca="false">IF(OR(B11="",D11=""),"",D11*(1-'Meu custo por hora'!$B$28)-H11)</f>
        <v>66.5617694084207</v>
      </c>
      <c r="J11" s="6"/>
    </row>
    <row r="12" customFormat="false" ht="21" hidden="false" customHeight="true" outlineLevel="0" collapsed="false">
      <c r="A12" s="38" t="s">
        <v>81</v>
      </c>
      <c r="B12" s="39" t="n">
        <v>40</v>
      </c>
      <c r="C12" s="40" t="n">
        <v>8</v>
      </c>
      <c r="D12" s="40" t="n">
        <v>55</v>
      </c>
      <c r="E12" s="41" t="n">
        <f aca="false">IF(B12="","",ROUNDUP(H12/(1-'Meu custo por hora'!$B$28-'Meu custo por hora'!$B$29),0))</f>
        <v>37</v>
      </c>
      <c r="F12" s="42" t="str">
        <f aca="false">IF(OR(B12="",D12=""),"",IF(D12&gt;=E12,"OK: cobre custos e margem",IF(I12&gt;=0,"Atenção: pouca folga","PREJUÍZO: abaixo do custo")))</f>
        <v>OK: cobre custos e margem</v>
      </c>
      <c r="G12" s="43" t="n">
        <f aca="false">IF(B12="","",B12/60*'Meu custo por hora'!$B$25)</f>
        <v>23.7460768638598</v>
      </c>
      <c r="H12" s="43" t="n">
        <f aca="false">IF(B12="","",G12+C12)</f>
        <v>31.7460768638598</v>
      </c>
      <c r="I12" s="44" t="n">
        <f aca="false">IF(OR(B12="",D12=""),"",D12*(1-'Meu custo por hora'!$B$28)-H12)</f>
        <v>21.0539231361402</v>
      </c>
      <c r="J12" s="6"/>
    </row>
    <row r="13" customFormat="false" ht="21" hidden="false" customHeight="true" outlineLevel="0" collapsed="false">
      <c r="A13" s="38"/>
      <c r="B13" s="39"/>
      <c r="C13" s="40"/>
      <c r="D13" s="40"/>
      <c r="E13" s="41" t="str">
        <f aca="false">IF(B13="","",ROUNDUP(H13/(1-'Meu custo por hora'!$B$28-'Meu custo por hora'!$B$29),0))</f>
        <v/>
      </c>
      <c r="F13" s="42" t="str">
        <f aca="false">IF(OR(B13="",D13=""),"",IF(D13&gt;=E13,"OK: cobre custos e margem",IF(I13&gt;=0,"Atenção: pouca folga","PREJUÍZO: abaixo do custo")))</f>
        <v/>
      </c>
      <c r="G13" s="43" t="str">
        <f aca="false">IF(B13="","",B13/60*'Meu custo por hora'!$B$25)</f>
        <v/>
      </c>
      <c r="H13" s="43" t="str">
        <f aca="false">IF(B13="","",G13+C13)</f>
        <v/>
      </c>
      <c r="I13" s="44" t="str">
        <f aca="false">IF(OR(B13="",D13=""),"",D13*(1-'Meu custo por hora'!$B$28)-H13)</f>
        <v/>
      </c>
      <c r="J13" s="6"/>
    </row>
    <row r="14" customFormat="false" ht="21" hidden="false" customHeight="true" outlineLevel="0" collapsed="false">
      <c r="A14" s="38"/>
      <c r="B14" s="39"/>
      <c r="C14" s="40"/>
      <c r="D14" s="40"/>
      <c r="E14" s="41" t="str">
        <f aca="false">IF(B14="","",ROUNDUP(H14/(1-'Meu custo por hora'!$B$28-'Meu custo por hora'!$B$29),0))</f>
        <v/>
      </c>
      <c r="F14" s="42" t="str">
        <f aca="false">IF(OR(B14="",D14=""),"",IF(D14&gt;=E14,"OK: cobre custos e margem",IF(I14&gt;=0,"Atenção: pouca folga","PREJUÍZO: abaixo do custo")))</f>
        <v/>
      </c>
      <c r="G14" s="43" t="str">
        <f aca="false">IF(B14="","",B14/60*'Meu custo por hora'!$B$25)</f>
        <v/>
      </c>
      <c r="H14" s="43" t="str">
        <f aca="false">IF(B14="","",G14+C14)</f>
        <v/>
      </c>
      <c r="I14" s="44" t="str">
        <f aca="false">IF(OR(B14="",D14=""),"",D14*(1-'Meu custo por hora'!$B$28)-H14)</f>
        <v/>
      </c>
      <c r="J14" s="6"/>
    </row>
    <row r="15" customFormat="false" ht="21" hidden="false" customHeight="true" outlineLevel="0" collapsed="false">
      <c r="A15" s="38"/>
      <c r="B15" s="39"/>
      <c r="C15" s="40"/>
      <c r="D15" s="40"/>
      <c r="E15" s="41" t="str">
        <f aca="false">IF(B15="","",ROUNDUP(H15/(1-'Meu custo por hora'!$B$28-'Meu custo por hora'!$B$29),0))</f>
        <v/>
      </c>
      <c r="F15" s="42" t="str">
        <f aca="false">IF(OR(B15="",D15=""),"",IF(D15&gt;=E15,"OK: cobre custos e margem",IF(I15&gt;=0,"Atenção: pouca folga","PREJUÍZO: abaixo do custo")))</f>
        <v/>
      </c>
      <c r="G15" s="43" t="str">
        <f aca="false">IF(B15="","",B15/60*'Meu custo por hora'!$B$25)</f>
        <v/>
      </c>
      <c r="H15" s="43" t="str">
        <f aca="false">IF(B15="","",G15+C15)</f>
        <v/>
      </c>
      <c r="I15" s="44" t="str">
        <f aca="false">IF(OR(B15="",D15=""),"",D15*(1-'Meu custo por hora'!$B$28)-H15)</f>
        <v/>
      </c>
      <c r="J15" s="6"/>
    </row>
    <row r="16" customFormat="false" ht="21" hidden="false" customHeight="true" outlineLevel="0" collapsed="false">
      <c r="A16" s="38"/>
      <c r="B16" s="39"/>
      <c r="C16" s="40"/>
      <c r="D16" s="40"/>
      <c r="E16" s="41" t="str">
        <f aca="false">IF(B16="","",ROUNDUP(H16/(1-'Meu custo por hora'!$B$28-'Meu custo por hora'!$B$29),0))</f>
        <v/>
      </c>
      <c r="F16" s="42" t="str">
        <f aca="false">IF(OR(B16="",D16=""),"",IF(D16&gt;=E16,"OK: cobre custos e margem",IF(I16&gt;=0,"Atenção: pouca folga","PREJUÍZO: abaixo do custo")))</f>
        <v/>
      </c>
      <c r="G16" s="43" t="str">
        <f aca="false">IF(B16="","",B16/60*'Meu custo por hora'!$B$25)</f>
        <v/>
      </c>
      <c r="H16" s="43" t="str">
        <f aca="false">IF(B16="","",G16+C16)</f>
        <v/>
      </c>
      <c r="I16" s="44" t="str">
        <f aca="false">IF(OR(B16="",D16=""),"",D16*(1-'Meu custo por hora'!$B$28)-H16)</f>
        <v/>
      </c>
      <c r="J16" s="6"/>
    </row>
    <row r="17" customFormat="false" ht="21" hidden="false" customHeight="true" outlineLevel="0" collapsed="false">
      <c r="A17" s="38"/>
      <c r="B17" s="39"/>
      <c r="C17" s="40"/>
      <c r="D17" s="40"/>
      <c r="E17" s="41" t="str">
        <f aca="false">IF(B17="","",ROUNDUP(H17/(1-'Meu custo por hora'!$B$28-'Meu custo por hora'!$B$29),0))</f>
        <v/>
      </c>
      <c r="F17" s="42" t="str">
        <f aca="false">IF(OR(B17="",D17=""),"",IF(D17&gt;=E17,"OK: cobre custos e margem",IF(I17&gt;=0,"Atenção: pouca folga","PREJUÍZO: abaixo do custo")))</f>
        <v/>
      </c>
      <c r="G17" s="43" t="str">
        <f aca="false">IF(B17="","",B17/60*'Meu custo por hora'!$B$25)</f>
        <v/>
      </c>
      <c r="H17" s="43" t="str">
        <f aca="false">IF(B17="","",G17+C17)</f>
        <v/>
      </c>
      <c r="I17" s="44" t="str">
        <f aca="false">IF(OR(B17="",D17=""),"",D17*(1-'Meu custo por hora'!$B$28)-H17)</f>
        <v/>
      </c>
      <c r="J17" s="6"/>
    </row>
    <row r="18" customFormat="false" ht="21" hidden="false" customHeight="true" outlineLevel="0" collapsed="false">
      <c r="A18" s="38"/>
      <c r="B18" s="39"/>
      <c r="C18" s="40"/>
      <c r="D18" s="40"/>
      <c r="E18" s="41" t="str">
        <f aca="false">IF(B18="","",ROUNDUP(H18/(1-'Meu custo por hora'!$B$28-'Meu custo por hora'!$B$29),0))</f>
        <v/>
      </c>
      <c r="F18" s="42" t="str">
        <f aca="false">IF(OR(B18="",D18=""),"",IF(D18&gt;=E18,"OK: cobre custos e margem",IF(I18&gt;=0,"Atenção: pouca folga","PREJUÍZO: abaixo do custo")))</f>
        <v/>
      </c>
      <c r="G18" s="43" t="str">
        <f aca="false">IF(B18="","",B18/60*'Meu custo por hora'!$B$25)</f>
        <v/>
      </c>
      <c r="H18" s="43" t="str">
        <f aca="false">IF(B18="","",G18+C18)</f>
        <v/>
      </c>
      <c r="I18" s="44" t="str">
        <f aca="false">IF(OR(B18="",D18=""),"",D18*(1-'Meu custo por hora'!$B$28)-H18)</f>
        <v/>
      </c>
      <c r="J18" s="6"/>
    </row>
    <row r="19" customFormat="false" ht="21" hidden="false" customHeight="true" outlineLevel="0" collapsed="false">
      <c r="A19" s="38"/>
      <c r="B19" s="39"/>
      <c r="C19" s="40"/>
      <c r="D19" s="40"/>
      <c r="E19" s="41" t="str">
        <f aca="false">IF(B19="","",ROUNDUP(H19/(1-'Meu custo por hora'!$B$28-'Meu custo por hora'!$B$29),0))</f>
        <v/>
      </c>
      <c r="F19" s="42" t="str">
        <f aca="false">IF(OR(B19="",D19=""),"",IF(D19&gt;=E19,"OK: cobre custos e margem",IF(I19&gt;=0,"Atenção: pouca folga","PREJUÍZO: abaixo do custo")))</f>
        <v/>
      </c>
      <c r="G19" s="43" t="str">
        <f aca="false">IF(B19="","",B19/60*'Meu custo por hora'!$B$25)</f>
        <v/>
      </c>
      <c r="H19" s="43" t="str">
        <f aca="false">IF(B19="","",G19+C19)</f>
        <v/>
      </c>
      <c r="I19" s="44" t="str">
        <f aca="false">IF(OR(B19="",D19=""),"",D19*(1-'Meu custo por hora'!$B$28)-H19)</f>
        <v/>
      </c>
      <c r="J19" s="6"/>
    </row>
    <row r="20" customFormat="false" ht="21" hidden="false" customHeight="true" outlineLevel="0" collapsed="false">
      <c r="A20" s="38"/>
      <c r="B20" s="39"/>
      <c r="C20" s="40"/>
      <c r="D20" s="40"/>
      <c r="E20" s="41" t="str">
        <f aca="false">IF(B20="","",ROUNDUP(H20/(1-'Meu custo por hora'!$B$28-'Meu custo por hora'!$B$29),0))</f>
        <v/>
      </c>
      <c r="F20" s="42" t="str">
        <f aca="false">IF(OR(B20="",D20=""),"",IF(D20&gt;=E20,"OK: cobre custos e margem",IF(I20&gt;=0,"Atenção: pouca folga","PREJUÍZO: abaixo do custo")))</f>
        <v/>
      </c>
      <c r="G20" s="43" t="str">
        <f aca="false">IF(B20="","",B20/60*'Meu custo por hora'!$B$25)</f>
        <v/>
      </c>
      <c r="H20" s="43" t="str">
        <f aca="false">IF(B20="","",G20+C20)</f>
        <v/>
      </c>
      <c r="I20" s="44" t="str">
        <f aca="false">IF(OR(B20="",D20=""),"",D20*(1-'Meu custo por hora'!$B$28)-H20)</f>
        <v/>
      </c>
      <c r="J20" s="6"/>
    </row>
    <row r="21" customFormat="false" ht="21" hidden="false" customHeight="true" outlineLevel="0" collapsed="false">
      <c r="A21" s="38"/>
      <c r="B21" s="39"/>
      <c r="C21" s="40"/>
      <c r="D21" s="40"/>
      <c r="E21" s="41" t="str">
        <f aca="false">IF(B21="","",ROUNDUP(H21/(1-'Meu custo por hora'!$B$28-'Meu custo por hora'!$B$29),0))</f>
        <v/>
      </c>
      <c r="F21" s="42" t="str">
        <f aca="false">IF(OR(B21="",D21=""),"",IF(D21&gt;=E21,"OK: cobre custos e margem",IF(I21&gt;=0,"Atenção: pouca folga","PREJUÍZO: abaixo do custo")))</f>
        <v/>
      </c>
      <c r="G21" s="43" t="str">
        <f aca="false">IF(B21="","",B21/60*'Meu custo por hora'!$B$25)</f>
        <v/>
      </c>
      <c r="H21" s="43" t="str">
        <f aca="false">IF(B21="","",G21+C21)</f>
        <v/>
      </c>
      <c r="I21" s="44" t="str">
        <f aca="false">IF(OR(B21="",D21=""),"",D21*(1-'Meu custo por hora'!$B$28)-H21)</f>
        <v/>
      </c>
      <c r="J21" s="6"/>
    </row>
    <row r="22" customFormat="false" ht="21" hidden="false" customHeight="true" outlineLevel="0" collapsed="false">
      <c r="A22" s="38"/>
      <c r="B22" s="39"/>
      <c r="C22" s="40"/>
      <c r="D22" s="40"/>
      <c r="E22" s="41" t="str">
        <f aca="false">IF(B22="","",ROUNDUP(H22/(1-'Meu custo por hora'!$B$28-'Meu custo por hora'!$B$29),0))</f>
        <v/>
      </c>
      <c r="F22" s="42" t="str">
        <f aca="false">IF(OR(B22="",D22=""),"",IF(D22&gt;=E22,"OK: cobre custos e margem",IF(I22&gt;=0,"Atenção: pouca folga","PREJUÍZO: abaixo do custo")))</f>
        <v/>
      </c>
      <c r="G22" s="43" t="str">
        <f aca="false">IF(B22="","",B22/60*'Meu custo por hora'!$B$25)</f>
        <v/>
      </c>
      <c r="H22" s="43" t="str">
        <f aca="false">IF(B22="","",G22+C22)</f>
        <v/>
      </c>
      <c r="I22" s="44" t="str">
        <f aca="false">IF(OR(B22="",D22=""),"",D22*(1-'Meu custo por hora'!$B$28)-H22)</f>
        <v/>
      </c>
      <c r="J22" s="6"/>
    </row>
    <row r="23" customFormat="false" ht="21" hidden="false" customHeight="true" outlineLevel="0" collapsed="false">
      <c r="A23" s="38"/>
      <c r="B23" s="39"/>
      <c r="C23" s="40"/>
      <c r="D23" s="40"/>
      <c r="E23" s="41" t="str">
        <f aca="false">IF(B23="","",ROUNDUP(H23/(1-'Meu custo por hora'!$B$28-'Meu custo por hora'!$B$29),0))</f>
        <v/>
      </c>
      <c r="F23" s="42" t="str">
        <f aca="false">IF(OR(B23="",D23=""),"",IF(D23&gt;=E23,"OK: cobre custos e margem",IF(I23&gt;=0,"Atenção: pouca folga","PREJUÍZO: abaixo do custo")))</f>
        <v/>
      </c>
      <c r="G23" s="43" t="str">
        <f aca="false">IF(B23="","",B23/60*'Meu custo por hora'!$B$25)</f>
        <v/>
      </c>
      <c r="H23" s="43" t="str">
        <f aca="false">IF(B23="","",G23+C23)</f>
        <v/>
      </c>
      <c r="I23" s="44" t="str">
        <f aca="false">IF(OR(B23="",D23=""),"",D23*(1-'Meu custo por hora'!$B$28)-H23)</f>
        <v/>
      </c>
      <c r="J23" s="6"/>
    </row>
    <row r="24" customFormat="false" ht="21" hidden="false" customHeight="true" outlineLevel="0" collapsed="false">
      <c r="A24" s="38"/>
      <c r="B24" s="39"/>
      <c r="C24" s="40"/>
      <c r="D24" s="40"/>
      <c r="E24" s="41" t="str">
        <f aca="false">IF(B24="","",ROUNDUP(H24/(1-'Meu custo por hora'!$B$28-'Meu custo por hora'!$B$29),0))</f>
        <v/>
      </c>
      <c r="F24" s="42" t="str">
        <f aca="false">IF(OR(B24="",D24=""),"",IF(D24&gt;=E24,"OK: cobre custos e margem",IF(I24&gt;=0,"Atenção: pouca folga","PREJUÍZO: abaixo do custo")))</f>
        <v/>
      </c>
      <c r="G24" s="43" t="str">
        <f aca="false">IF(B24="","",B24/60*'Meu custo por hora'!$B$25)</f>
        <v/>
      </c>
      <c r="H24" s="43" t="str">
        <f aca="false">IF(B24="","",G24+C24)</f>
        <v/>
      </c>
      <c r="I24" s="44" t="str">
        <f aca="false">IF(OR(B24="",D24=""),"",D24*(1-'Meu custo por hora'!$B$28)-H24)</f>
        <v/>
      </c>
      <c r="J24" s="6"/>
    </row>
    <row r="25" customFormat="false" ht="21" hidden="false" customHeight="true" outlineLevel="0" collapsed="false">
      <c r="A25" s="38"/>
      <c r="B25" s="39"/>
      <c r="C25" s="40"/>
      <c r="D25" s="40"/>
      <c r="E25" s="41" t="str">
        <f aca="false">IF(B25="","",ROUNDUP(H25/(1-'Meu custo por hora'!$B$28-'Meu custo por hora'!$B$29),0))</f>
        <v/>
      </c>
      <c r="F25" s="42" t="str">
        <f aca="false">IF(OR(B25="",D25=""),"",IF(D25&gt;=E25,"OK: cobre custos e margem",IF(I25&gt;=0,"Atenção: pouca folga","PREJUÍZO: abaixo do custo")))</f>
        <v/>
      </c>
      <c r="G25" s="43" t="str">
        <f aca="false">IF(B25="","",B25/60*'Meu custo por hora'!$B$25)</f>
        <v/>
      </c>
      <c r="H25" s="43" t="str">
        <f aca="false">IF(B25="","",G25+C25)</f>
        <v/>
      </c>
      <c r="I25" s="44" t="str">
        <f aca="false">IF(OR(B25="",D25=""),"",D25*(1-'Meu custo por hora'!$B$28)-H25)</f>
        <v/>
      </c>
      <c r="J25" s="6"/>
    </row>
    <row r="26" customFormat="false" ht="21" hidden="false" customHeight="true" outlineLevel="0" collapsed="false">
      <c r="A26" s="38"/>
      <c r="B26" s="39"/>
      <c r="C26" s="40"/>
      <c r="D26" s="40"/>
      <c r="E26" s="41" t="str">
        <f aca="false">IF(B26="","",ROUNDUP(H26/(1-'Meu custo por hora'!$B$28-'Meu custo por hora'!$B$29),0))</f>
        <v/>
      </c>
      <c r="F26" s="42" t="str">
        <f aca="false">IF(OR(B26="",D26=""),"",IF(D26&gt;=E26,"OK: cobre custos e margem",IF(I26&gt;=0,"Atenção: pouca folga","PREJUÍZO: abaixo do custo")))</f>
        <v/>
      </c>
      <c r="G26" s="43" t="str">
        <f aca="false">IF(B26="","",B26/60*'Meu custo por hora'!$B$25)</f>
        <v/>
      </c>
      <c r="H26" s="43" t="str">
        <f aca="false">IF(B26="","",G26+C26)</f>
        <v/>
      </c>
      <c r="I26" s="44" t="str">
        <f aca="false">IF(OR(B26="",D26=""),"",D26*(1-'Meu custo por hora'!$B$28)-H26)</f>
        <v/>
      </c>
      <c r="J26" s="6"/>
    </row>
    <row r="27" customFormat="false" ht="21" hidden="false" customHeight="true" outlineLevel="0" collapsed="false">
      <c r="A27" s="38"/>
      <c r="B27" s="39"/>
      <c r="C27" s="40"/>
      <c r="D27" s="40"/>
      <c r="E27" s="41" t="str">
        <f aca="false">IF(B27="","",ROUNDUP(H27/(1-'Meu custo por hora'!$B$28-'Meu custo por hora'!$B$29),0))</f>
        <v/>
      </c>
      <c r="F27" s="42" t="str">
        <f aca="false">IF(OR(B27="",D27=""),"",IF(D27&gt;=E27,"OK: cobre custos e margem",IF(I27&gt;=0,"Atenção: pouca folga","PREJUÍZO: abaixo do custo")))</f>
        <v/>
      </c>
      <c r="G27" s="43" t="str">
        <f aca="false">IF(B27="","",B27/60*'Meu custo por hora'!$B$25)</f>
        <v/>
      </c>
      <c r="H27" s="43" t="str">
        <f aca="false">IF(B27="","",G27+C27)</f>
        <v/>
      </c>
      <c r="I27" s="44" t="str">
        <f aca="false">IF(OR(B27="",D27=""),"",D27*(1-'Meu custo por hora'!$B$28)-H27)</f>
        <v/>
      </c>
      <c r="J27" s="6"/>
    </row>
    <row r="28" customFormat="false" ht="21" hidden="false" customHeight="true" outlineLevel="0" collapsed="false">
      <c r="A28" s="38"/>
      <c r="B28" s="39"/>
      <c r="C28" s="40"/>
      <c r="D28" s="40"/>
      <c r="E28" s="41" t="str">
        <f aca="false">IF(B28="","",ROUNDUP(H28/(1-'Meu custo por hora'!$B$28-'Meu custo por hora'!$B$29),0))</f>
        <v/>
      </c>
      <c r="F28" s="42" t="str">
        <f aca="false">IF(OR(B28="",D28=""),"",IF(D28&gt;=E28,"OK: cobre custos e margem",IF(I28&gt;=0,"Atenção: pouca folga","PREJUÍZO: abaixo do custo")))</f>
        <v/>
      </c>
      <c r="G28" s="43" t="str">
        <f aca="false">IF(B28="","",B28/60*'Meu custo por hora'!$B$25)</f>
        <v/>
      </c>
      <c r="H28" s="43" t="str">
        <f aca="false">IF(B28="","",G28+C28)</f>
        <v/>
      </c>
      <c r="I28" s="44" t="str">
        <f aca="false">IF(OR(B28="",D28=""),"",D28*(1-'Meu custo por hora'!$B$28)-H28)</f>
        <v/>
      </c>
      <c r="J28" s="6"/>
    </row>
    <row r="29" customFormat="false" ht="21" hidden="false" customHeight="true" outlineLevel="0" collapsed="false">
      <c r="A29" s="38"/>
      <c r="B29" s="39"/>
      <c r="C29" s="40"/>
      <c r="D29" s="40"/>
      <c r="E29" s="41" t="str">
        <f aca="false">IF(B29="","",ROUNDUP(H29/(1-'Meu custo por hora'!$B$28-'Meu custo por hora'!$B$29),0))</f>
        <v/>
      </c>
      <c r="F29" s="42" t="str">
        <f aca="false">IF(OR(B29="",D29=""),"",IF(D29&gt;=E29,"OK: cobre custos e margem",IF(I29&gt;=0,"Atenção: pouca folga","PREJUÍZO: abaixo do custo")))</f>
        <v/>
      </c>
      <c r="G29" s="43" t="str">
        <f aca="false">IF(B29="","",B29/60*'Meu custo por hora'!$B$25)</f>
        <v/>
      </c>
      <c r="H29" s="43" t="str">
        <f aca="false">IF(B29="","",G29+C29)</f>
        <v/>
      </c>
      <c r="I29" s="44" t="str">
        <f aca="false">IF(OR(B29="",D29=""),"",D29*(1-'Meu custo por hora'!$B$28)-H29)</f>
        <v/>
      </c>
      <c r="J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customFormat="false" ht="15" hidden="false" customHeight="false" outlineLevel="0" collapsed="false">
      <c r="A31" s="45" t="s">
        <v>82</v>
      </c>
      <c r="B31" s="45"/>
      <c r="C31" s="45"/>
      <c r="D31" s="45"/>
      <c r="E31" s="45"/>
      <c r="F31" s="45"/>
      <c r="G31" s="45"/>
      <c r="H31" s="45"/>
      <c r="I31" s="45"/>
      <c r="J31" s="6"/>
    </row>
    <row r="32" customFormat="false" ht="15" hidden="false" customHeight="false" outlineLevel="0" collapsed="false">
      <c r="A32" s="45" t="s">
        <v>83</v>
      </c>
      <c r="B32" s="45"/>
      <c r="C32" s="45"/>
      <c r="D32" s="45"/>
      <c r="E32" s="45"/>
      <c r="F32" s="45"/>
      <c r="G32" s="45"/>
      <c r="H32" s="45"/>
      <c r="I32" s="45"/>
      <c r="J32" s="6"/>
    </row>
    <row r="33" customFormat="false" ht="15" hidden="false" customHeight="false" outlineLevel="0" collapsed="false">
      <c r="A33" s="45" t="s">
        <v>84</v>
      </c>
      <c r="B33" s="45"/>
      <c r="C33" s="45"/>
      <c r="D33" s="45"/>
      <c r="E33" s="45"/>
      <c r="F33" s="45"/>
      <c r="G33" s="45"/>
      <c r="H33" s="45"/>
      <c r="I33" s="45"/>
      <c r="J33" s="6"/>
    </row>
    <row r="34" customFormat="false" ht="15" hidden="false" customHeight="false" outlineLevel="0" collapsed="false">
      <c r="A34" s="45" t="s">
        <v>85</v>
      </c>
      <c r="B34" s="45"/>
      <c r="C34" s="45"/>
      <c r="D34" s="45"/>
      <c r="E34" s="45"/>
      <c r="F34" s="45"/>
      <c r="G34" s="45"/>
      <c r="H34" s="45"/>
      <c r="I34" s="45"/>
      <c r="J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</row>
  </sheetData>
  <mergeCells count="8">
    <mergeCell ref="A1:F1"/>
    <mergeCell ref="G1:I1"/>
    <mergeCell ref="A2:J2"/>
    <mergeCell ref="A3:J3"/>
    <mergeCell ref="A31:I31"/>
    <mergeCell ref="A32:I32"/>
    <mergeCell ref="A33:I33"/>
    <mergeCell ref="A34:I34"/>
  </mergeCells>
  <conditionalFormatting sqref="F5:F29">
    <cfRule type="expression" priority="2" aboveAverage="0" equalAverage="0" bottom="0" percent="0" rank="0" text="" dxfId="0">
      <formula>LEFT($F5,2)="OK"</formula>
    </cfRule>
    <cfRule type="expression" priority="3" aboveAverage="0" equalAverage="0" bottom="0" percent="0" rank="0" text="" dxfId="1">
      <formula>LEFT($F5,7)="Atenção"</formula>
    </cfRule>
    <cfRule type="expression" priority="4" aboveAverage="0" equalAverage="0" bottom="0" percent="0" rank="0" text="" dxfId="2">
      <formula>LEFT($F5,4)="PREJ"</formula>
    </cfRule>
  </conditionalFormatting>
  <dataValidations count="3">
    <dataValidation allowBlank="true" errorStyle="stop" operator="lessThanOrEqual" prompt="Escreva o nome do serviço. Depois preencha tempo, material e quanto cobra hoje." promptTitle="Nome do serviço" showDropDown="false" showErrorMessage="false" showInputMessage="true" sqref="A5:A29" type="textLength">
      <formula1>60</formula1>
      <formula2>0</formula2>
    </dataValidation>
    <dataValidation allowBlank="true" error="Digite o tempo em minutos (ex.: 45)." errorStyle="stop" errorTitle="Tempo em minutos" operator="between" prompt="Quantos minutos dura este atendimento (ex.: 45)." promptTitle="Tempo do serviço" showDropDown="false" showErrorMessage="true" showInputMessage="true" sqref="B5:B29" type="decimal">
      <formula1>1</formula1>
      <formula2>720</formula2>
    </dataValidation>
    <dataValidation allowBlank="true" error="Digite um valor em reais (ex.: 35)." errorStyle="stop" errorTitle="Valor em reais" operator="greaterThanOrEqual" prompt="Material: quanto você gasta em produtos neste atendimento. Cobro hoje: o preço que você cobra atualmente." promptTitle="Em reais" showDropDown="false" showErrorMessage="true" showInputMessage="true" sqref="C5:D29" type="decimal">
      <formula1>0</formula1>
      <formula2>0</formula2>
    </dataValidation>
  </dataValidations>
  <hyperlinks>
    <hyperlink ref="G1" location="'Meu Painel'!A1" display="Próximo: Meu Painel 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1236"/>
    <pageSetUpPr fitToPage="true"/>
  </sheetPr>
  <dimension ref="A1:N42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3" min="2" style="0" width="12"/>
    <col collapsed="false" customWidth="true" hidden="false" outlineLevel="0" max="14" min="14" style="0" width="3"/>
  </cols>
  <sheetData>
    <row r="1" customFormat="false" ht="51.75" hidden="false" customHeight="true" outlineLevel="0" collapsed="false">
      <c r="A1" s="19" t="s">
        <v>86</v>
      </c>
      <c r="B1" s="19"/>
      <c r="C1" s="19"/>
      <c r="D1" s="19"/>
      <c r="E1" s="19"/>
      <c r="F1" s="19"/>
      <c r="G1" s="19"/>
      <c r="H1" s="19"/>
      <c r="I1" s="19"/>
      <c r="J1" s="19"/>
      <c r="K1" s="10" t="s">
        <v>87</v>
      </c>
      <c r="L1" s="10"/>
      <c r="M1" s="10"/>
      <c r="N1" s="1"/>
    </row>
    <row r="2" customFormat="false" ht="24" hidden="false" customHeight="true" outlineLevel="0" collapsed="false">
      <c r="A2" s="20" t="s">
        <v>88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customFormat="false" ht="9.75" hidden="false" customHeight="tru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customFormat="false" ht="25.5" hidden="false" customHeight="true" outlineLevel="0" collapsed="false">
      <c r="A5" s="6"/>
      <c r="B5" s="46" t="s">
        <v>89</v>
      </c>
      <c r="C5" s="46"/>
      <c r="D5" s="46"/>
      <c r="E5" s="46" t="s">
        <v>90</v>
      </c>
      <c r="F5" s="46"/>
      <c r="G5" s="46"/>
      <c r="H5" s="46" t="s">
        <v>91</v>
      </c>
      <c r="I5" s="46"/>
      <c r="J5" s="46"/>
      <c r="K5" s="46" t="s">
        <v>92</v>
      </c>
      <c r="L5" s="46"/>
      <c r="M5" s="46"/>
      <c r="N5" s="6"/>
    </row>
    <row r="6" customFormat="false" ht="45.75" hidden="false" customHeight="true" outlineLevel="0" collapsed="false">
      <c r="A6" s="6"/>
      <c r="B6" s="47" t="n">
        <f aca="false">'Meu custo por hora'!B25</f>
        <v>35.6191152957897</v>
      </c>
      <c r="C6" s="47"/>
      <c r="D6" s="47"/>
      <c r="E6" s="48" t="n">
        <f aca="false">COUNT('Meus serviços'!B5:B29)</f>
        <v>8</v>
      </c>
      <c r="F6" s="48"/>
      <c r="G6" s="48"/>
      <c r="H6" s="48" t="n">
        <f aca="false">COUNTIF('Meus serviços'!F5:F29,"Atenção*")+COUNTIF('Meus serviços'!F5:F29,"PREJUÍZO*")</f>
        <v>2</v>
      </c>
      <c r="I6" s="48"/>
      <c r="J6" s="48"/>
      <c r="K6" s="49" t="n">
        <f aca="false">COUNTIF('Meus serviços'!F5:F29,"PREJUÍZO*")</f>
        <v>1</v>
      </c>
      <c r="L6" s="49"/>
      <c r="M6" s="49"/>
      <c r="N6" s="6"/>
    </row>
    <row r="7" customFormat="false" ht="24" hidden="false" customHeight="true" outlineLevel="0" collapsed="false">
      <c r="A7" s="6"/>
      <c r="B7" s="50" t="s">
        <v>93</v>
      </c>
      <c r="C7" s="50"/>
      <c r="D7" s="50"/>
      <c r="E7" s="50" t="s">
        <v>94</v>
      </c>
      <c r="F7" s="50"/>
      <c r="G7" s="50"/>
      <c r="H7" s="50" t="s">
        <v>95</v>
      </c>
      <c r="I7" s="50"/>
      <c r="J7" s="50"/>
      <c r="K7" s="50" t="s">
        <v>96</v>
      </c>
      <c r="L7" s="50"/>
      <c r="M7" s="50"/>
      <c r="N7" s="6"/>
    </row>
    <row r="8" customFormat="false" ht="9.75" hidden="false" customHeight="tru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</row>
    <row r="9" customFormat="false" ht="25.5" hidden="false" customHeight="true" outlineLevel="0" collapsed="false">
      <c r="A9" s="6"/>
      <c r="B9" s="46" t="s">
        <v>97</v>
      </c>
      <c r="C9" s="46"/>
      <c r="D9" s="46"/>
      <c r="E9" s="46" t="s">
        <v>98</v>
      </c>
      <c r="F9" s="46"/>
      <c r="G9" s="46"/>
      <c r="H9" s="46" t="s">
        <v>99</v>
      </c>
      <c r="I9" s="46"/>
      <c r="J9" s="46"/>
      <c r="K9" s="46" t="s">
        <v>100</v>
      </c>
      <c r="L9" s="46"/>
      <c r="M9" s="46"/>
      <c r="N9" s="6"/>
    </row>
    <row r="10" customFormat="false" ht="45.75" hidden="false" customHeight="true" outlineLevel="0" collapsed="false">
      <c r="A10" s="6"/>
      <c r="B10" s="51" t="n">
        <f aca="false">COUNTIF('Meus serviços'!F5:F29,"OK*")</f>
        <v>6</v>
      </c>
      <c r="C10" s="51"/>
      <c r="D10" s="51"/>
      <c r="E10" s="52" t="n">
        <f aca="false">IFERROR(AVERAGE('Meus serviços'!I5:I29),0)</f>
        <v>30.9269171552081</v>
      </c>
      <c r="F10" s="52"/>
      <c r="G10" s="52"/>
      <c r="H10" s="53" t="str">
        <f aca="false">IFERROR(INDEX('Meus serviços'!A5:A29,MATCH(MAX('Meus serviços'!I5:I29),'Meus serviços'!I5:I29,0)),"-")</f>
        <v>Extensão de cílios</v>
      </c>
      <c r="I10" s="53"/>
      <c r="J10" s="53"/>
      <c r="K10" s="54" t="str">
        <f aca="false">IFERROR(INDEX('Meus serviços'!A5:A29,MATCH(MIN('Meus serviços'!I5:I29),'Meus serviços'!I5:I29,0)),"-")</f>
        <v>Manicure (mão)</v>
      </c>
      <c r="L10" s="54"/>
      <c r="M10" s="54"/>
      <c r="N10" s="6"/>
    </row>
    <row r="11" customFormat="false" ht="24" hidden="false" customHeight="true" outlineLevel="0" collapsed="false">
      <c r="A11" s="6"/>
      <c r="B11" s="50" t="s">
        <v>101</v>
      </c>
      <c r="C11" s="50"/>
      <c r="D11" s="50"/>
      <c r="E11" s="50" t="s">
        <v>102</v>
      </c>
      <c r="F11" s="50"/>
      <c r="G11" s="50"/>
      <c r="H11" s="50" t="s">
        <v>103</v>
      </c>
      <c r="I11" s="50"/>
      <c r="J11" s="50"/>
      <c r="K11" s="50" t="s">
        <v>104</v>
      </c>
      <c r="L11" s="50"/>
      <c r="M11" s="50"/>
      <c r="N11" s="6"/>
    </row>
    <row r="12" customFormat="false" ht="12" hidden="false" customHeight="tru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customFormat="false" ht="33.75" hidden="false" customHeight="true" outlineLevel="0" collapsed="false">
      <c r="A13" s="6"/>
      <c r="B13" s="55" t="str">
        <f aca="false">IF(K6&gt;0,"Atenção: "&amp;K6&amp;" serviço(s) estão com preço abaixo do custo. Veja o preço sugerido na aba Meus serviços.",IF(H6&gt;0,"Alguns serviços têm pouca folga. Compare o preço de hoje com o preço sugerido.","Os preços cadastrados cobrem seus custos e a margem. Revise quando seus gastos mudarem."))</f>
        <v>Atenção: 1 serviço(s) estão com preço abaixo do custo. Veja o preço sugerido na aba Meus serviços.</v>
      </c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6"/>
    </row>
    <row r="14" customFormat="false" ht="12" hidden="false" customHeight="tru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customFormat="false" ht="27.75" hidden="false" customHeight="true" outlineLevel="0" collapsed="false">
      <c r="A15" s="6"/>
      <c r="B15" s="12" t="s">
        <v>105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customFormat="false" ht="15" hidden="false" customHeight="false" outlineLevel="0" collapsed="false">
      <c r="A36" s="6"/>
      <c r="B36" s="45" t="s">
        <v>106</v>
      </c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</row>
  </sheetData>
  <mergeCells count="31">
    <mergeCell ref="A1:J1"/>
    <mergeCell ref="K1:M1"/>
    <mergeCell ref="A2:N2"/>
    <mergeCell ref="A3:N3"/>
    <mergeCell ref="B5:D5"/>
    <mergeCell ref="E5:G5"/>
    <mergeCell ref="H5:J5"/>
    <mergeCell ref="K5:M5"/>
    <mergeCell ref="B6:D6"/>
    <mergeCell ref="E6:G6"/>
    <mergeCell ref="H6:J6"/>
    <mergeCell ref="K6:M6"/>
    <mergeCell ref="B7:D7"/>
    <mergeCell ref="E7:G7"/>
    <mergeCell ref="H7:J7"/>
    <mergeCell ref="K7:M7"/>
    <mergeCell ref="B9:D9"/>
    <mergeCell ref="E9:G9"/>
    <mergeCell ref="H9:J9"/>
    <mergeCell ref="K9:M9"/>
    <mergeCell ref="B10:D10"/>
    <mergeCell ref="E10:G10"/>
    <mergeCell ref="H10:J10"/>
    <mergeCell ref="K10:M10"/>
    <mergeCell ref="B11:D11"/>
    <mergeCell ref="E11:G11"/>
    <mergeCell ref="H11:J11"/>
    <mergeCell ref="K11:M11"/>
    <mergeCell ref="B13:M13"/>
    <mergeCell ref="B15:M15"/>
    <mergeCell ref="B36:M36"/>
  </mergeCells>
  <hyperlinks>
    <hyperlink ref="K1" location="'Tabela para divulgar'!A1" display="Ver Tabela para divulgar 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6CC"/>
    <pageSetUpPr fitToPage="true"/>
  </sheetPr>
  <dimension ref="A1:D34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3" min="3" style="0" width="18"/>
    <col collapsed="false" customWidth="true" hidden="false" outlineLevel="0" max="4" min="4" style="0" width="3"/>
  </cols>
  <sheetData>
    <row r="1" customFormat="false" ht="45.75" hidden="false" customHeight="true" outlineLevel="0" collapsed="false">
      <c r="A1" s="56" t="s">
        <v>107</v>
      </c>
      <c r="B1" s="56"/>
      <c r="C1" s="56"/>
      <c r="D1" s="56"/>
    </row>
    <row r="2" customFormat="false" ht="3.75" hidden="false" customHeight="true" outlineLevel="0" collapsed="false">
      <c r="A2" s="5"/>
      <c r="B2" s="5"/>
      <c r="C2" s="5"/>
      <c r="D2" s="5"/>
    </row>
    <row r="3" customFormat="false" ht="25.5" hidden="false" customHeight="true" outlineLevel="0" collapsed="false">
      <c r="A3" s="6"/>
      <c r="B3" s="57" t="s">
        <v>108</v>
      </c>
      <c r="C3" s="57"/>
      <c r="D3" s="6"/>
    </row>
    <row r="4" customFormat="false" ht="7.5" hidden="false" customHeight="true" outlineLevel="0" collapsed="false">
      <c r="A4" s="6"/>
      <c r="B4" s="6"/>
      <c r="C4" s="6"/>
      <c r="D4" s="6"/>
    </row>
    <row r="5" customFormat="false" ht="24" hidden="false" customHeight="true" outlineLevel="0" collapsed="false">
      <c r="A5" s="6"/>
      <c r="B5" s="58" t="s">
        <v>65</v>
      </c>
      <c r="C5" s="59" t="s">
        <v>109</v>
      </c>
      <c r="D5" s="6"/>
    </row>
    <row r="6" customFormat="false" ht="24" hidden="false" customHeight="true" outlineLevel="0" collapsed="false">
      <c r="A6" s="6"/>
      <c r="B6" s="60" t="str">
        <f aca="false">IF('Meus serviços'!B5="","",'Meus serviços'!A5)</f>
        <v>Corte feminino</v>
      </c>
      <c r="C6" s="61" t="n">
        <f aca="false">IF('Meus serviços'!B5="","",IF('Meus serviços'!D5&gt;='Meus serviços'!E5,'Meus serviços'!D5,'Meus serviços'!E5))</f>
        <v>80</v>
      </c>
      <c r="D6" s="6"/>
    </row>
    <row r="7" customFormat="false" ht="24" hidden="false" customHeight="true" outlineLevel="0" collapsed="false">
      <c r="A7" s="6"/>
      <c r="B7" s="60" t="str">
        <f aca="false">IF('Meus serviços'!B6="","",'Meus serviços'!A6)</f>
        <v>Escova</v>
      </c>
      <c r="C7" s="61" t="n">
        <f aca="false">IF('Meus serviços'!B6="","",IF('Meus serviços'!D6&gt;='Meus serviços'!E6,'Meus serviços'!D6,'Meus serviços'!E6))</f>
        <v>39</v>
      </c>
      <c r="D7" s="6"/>
    </row>
    <row r="8" customFormat="false" ht="24" hidden="false" customHeight="true" outlineLevel="0" collapsed="false">
      <c r="A8" s="6"/>
      <c r="B8" s="60" t="str">
        <f aca="false">IF('Meus serviços'!B7="","",'Meus serviços'!A7)</f>
        <v>Manicure (mão)</v>
      </c>
      <c r="C8" s="61" t="n">
        <f aca="false">IF('Meus serviços'!B7="","",IF('Meus serviços'!D7&gt;='Meus serviços'!E7,'Meus serviços'!D7,'Meus serviços'!E7))</f>
        <v>36</v>
      </c>
      <c r="D8" s="6"/>
    </row>
    <row r="9" customFormat="false" ht="24" hidden="false" customHeight="true" outlineLevel="0" collapsed="false">
      <c r="A9" s="6"/>
      <c r="B9" s="60" t="str">
        <f aca="false">IF('Meus serviços'!B8="","",'Meus serviços'!A8)</f>
        <v>Design de sobrancelha</v>
      </c>
      <c r="C9" s="61" t="n">
        <f aca="false">IF('Meus serviços'!B8="","",IF('Meus serviços'!D8&gt;='Meus serviços'!E8,'Meus serviços'!D8,'Meus serviços'!E8))</f>
        <v>40</v>
      </c>
      <c r="D9" s="6"/>
    </row>
    <row r="10" customFormat="false" ht="24" hidden="false" customHeight="true" outlineLevel="0" collapsed="false">
      <c r="A10" s="6"/>
      <c r="B10" s="60" t="str">
        <f aca="false">IF('Meus serviços'!B9="","",'Meus serviços'!A9)</f>
        <v>Limpeza de pele</v>
      </c>
      <c r="C10" s="61" t="n">
        <f aca="false">IF('Meus serviços'!B9="","",IF('Meus serviços'!D9&gt;='Meus serviços'!E9,'Meus serviços'!D9,'Meus serviços'!E9))</f>
        <v>120</v>
      </c>
      <c r="D10" s="6"/>
    </row>
    <row r="11" customFormat="false" ht="24" hidden="false" customHeight="true" outlineLevel="0" collapsed="false">
      <c r="A11" s="6"/>
      <c r="B11" s="60" t="str">
        <f aca="false">IF('Meus serviços'!B10="","",'Meus serviços'!A10)</f>
        <v>Massagem relaxante</v>
      </c>
      <c r="C11" s="61" t="n">
        <f aca="false">IF('Meus serviços'!B10="","",IF('Meus serviços'!D10&gt;='Meus serviços'!E10,'Meus serviços'!D10,'Meus serviços'!E10))</f>
        <v>100</v>
      </c>
      <c r="D11" s="6"/>
    </row>
    <row r="12" customFormat="false" ht="24" hidden="false" customHeight="true" outlineLevel="0" collapsed="false">
      <c r="A12" s="6"/>
      <c r="B12" s="60" t="str">
        <f aca="false">IF('Meus serviços'!B11="","",'Meus serviços'!A11)</f>
        <v>Extensão de cílios</v>
      </c>
      <c r="C12" s="61" t="n">
        <f aca="false">IF('Meus serviços'!B11="","",IF('Meus serviços'!D11&gt;='Meus serviços'!E11,'Meus serviços'!D11,'Meus serviços'!E11))</f>
        <v>180</v>
      </c>
      <c r="D12" s="6"/>
    </row>
    <row r="13" customFormat="false" ht="24" hidden="false" customHeight="true" outlineLevel="0" collapsed="false">
      <c r="A13" s="6"/>
      <c r="B13" s="60" t="str">
        <f aca="false">IF('Meus serviços'!B12="","",'Meus serviços'!A12)</f>
        <v>Depilação (perna)</v>
      </c>
      <c r="C13" s="61" t="n">
        <f aca="false">IF('Meus serviços'!B12="","",IF('Meus serviços'!D12&gt;='Meus serviços'!E12,'Meus serviços'!D12,'Meus serviços'!E12))</f>
        <v>55</v>
      </c>
      <c r="D13" s="6"/>
    </row>
    <row r="14" customFormat="false" ht="24" hidden="false" customHeight="true" outlineLevel="0" collapsed="false">
      <c r="A14" s="6"/>
      <c r="B14" s="60" t="str">
        <f aca="false">IF('Meus serviços'!B13="","",'Meus serviços'!A13)</f>
        <v/>
      </c>
      <c r="C14" s="61" t="str">
        <f aca="false">IF('Meus serviços'!B13="","",IF('Meus serviços'!D13&gt;='Meus serviços'!E13,'Meus serviços'!D13,'Meus serviços'!E13))</f>
        <v/>
      </c>
      <c r="D14" s="6"/>
    </row>
    <row r="15" customFormat="false" ht="24" hidden="false" customHeight="true" outlineLevel="0" collapsed="false">
      <c r="A15" s="6"/>
      <c r="B15" s="60" t="str">
        <f aca="false">IF('Meus serviços'!B14="","",'Meus serviços'!A14)</f>
        <v/>
      </c>
      <c r="C15" s="61" t="str">
        <f aca="false">IF('Meus serviços'!B14="","",IF('Meus serviços'!D14&gt;='Meus serviços'!E14,'Meus serviços'!D14,'Meus serviços'!E14))</f>
        <v/>
      </c>
      <c r="D15" s="6"/>
    </row>
    <row r="16" customFormat="false" ht="24" hidden="false" customHeight="true" outlineLevel="0" collapsed="false">
      <c r="A16" s="6"/>
      <c r="B16" s="60" t="str">
        <f aca="false">IF('Meus serviços'!B15="","",'Meus serviços'!A15)</f>
        <v/>
      </c>
      <c r="C16" s="61" t="str">
        <f aca="false">IF('Meus serviços'!B15="","",IF('Meus serviços'!D15&gt;='Meus serviços'!E15,'Meus serviços'!D15,'Meus serviços'!E15))</f>
        <v/>
      </c>
      <c r="D16" s="6"/>
    </row>
    <row r="17" customFormat="false" ht="24" hidden="false" customHeight="true" outlineLevel="0" collapsed="false">
      <c r="A17" s="6"/>
      <c r="B17" s="60" t="str">
        <f aca="false">IF('Meus serviços'!B16="","",'Meus serviços'!A16)</f>
        <v/>
      </c>
      <c r="C17" s="61" t="str">
        <f aca="false">IF('Meus serviços'!B16="","",IF('Meus serviços'!D16&gt;='Meus serviços'!E16,'Meus serviços'!D16,'Meus serviços'!E16))</f>
        <v/>
      </c>
      <c r="D17" s="6"/>
    </row>
    <row r="18" customFormat="false" ht="24" hidden="false" customHeight="true" outlineLevel="0" collapsed="false">
      <c r="A18" s="6"/>
      <c r="B18" s="60" t="str">
        <f aca="false">IF('Meus serviços'!B17="","",'Meus serviços'!A17)</f>
        <v/>
      </c>
      <c r="C18" s="61" t="str">
        <f aca="false">IF('Meus serviços'!B17="","",IF('Meus serviços'!D17&gt;='Meus serviços'!E17,'Meus serviços'!D17,'Meus serviços'!E17))</f>
        <v/>
      </c>
      <c r="D18" s="6"/>
    </row>
    <row r="19" customFormat="false" ht="24" hidden="false" customHeight="true" outlineLevel="0" collapsed="false">
      <c r="A19" s="6"/>
      <c r="B19" s="60" t="str">
        <f aca="false">IF('Meus serviços'!B18="","",'Meus serviços'!A18)</f>
        <v/>
      </c>
      <c r="C19" s="61" t="str">
        <f aca="false">IF('Meus serviços'!B18="","",IF('Meus serviços'!D18&gt;='Meus serviços'!E18,'Meus serviços'!D18,'Meus serviços'!E18))</f>
        <v/>
      </c>
      <c r="D19" s="6"/>
    </row>
    <row r="20" customFormat="false" ht="24" hidden="false" customHeight="true" outlineLevel="0" collapsed="false">
      <c r="A20" s="6"/>
      <c r="B20" s="60" t="str">
        <f aca="false">IF('Meus serviços'!B19="","",'Meus serviços'!A19)</f>
        <v/>
      </c>
      <c r="C20" s="61" t="str">
        <f aca="false">IF('Meus serviços'!B19="","",IF('Meus serviços'!D19&gt;='Meus serviços'!E19,'Meus serviços'!D19,'Meus serviços'!E19))</f>
        <v/>
      </c>
      <c r="D20" s="6"/>
    </row>
    <row r="21" customFormat="false" ht="24" hidden="false" customHeight="true" outlineLevel="0" collapsed="false">
      <c r="A21" s="6"/>
      <c r="B21" s="60" t="str">
        <f aca="false">IF('Meus serviços'!B20="","",'Meus serviços'!A20)</f>
        <v/>
      </c>
      <c r="C21" s="61" t="str">
        <f aca="false">IF('Meus serviços'!B20="","",IF('Meus serviços'!D20&gt;='Meus serviços'!E20,'Meus serviços'!D20,'Meus serviços'!E20))</f>
        <v/>
      </c>
      <c r="D21" s="6"/>
    </row>
    <row r="22" customFormat="false" ht="24" hidden="false" customHeight="true" outlineLevel="0" collapsed="false">
      <c r="A22" s="6"/>
      <c r="B22" s="60" t="str">
        <f aca="false">IF('Meus serviços'!B21="","",'Meus serviços'!A21)</f>
        <v/>
      </c>
      <c r="C22" s="61" t="str">
        <f aca="false">IF('Meus serviços'!B21="","",IF('Meus serviços'!D21&gt;='Meus serviços'!E21,'Meus serviços'!D21,'Meus serviços'!E21))</f>
        <v/>
      </c>
      <c r="D22" s="6"/>
    </row>
    <row r="23" customFormat="false" ht="24" hidden="false" customHeight="true" outlineLevel="0" collapsed="false">
      <c r="A23" s="6"/>
      <c r="B23" s="60" t="str">
        <f aca="false">IF('Meus serviços'!B22="","",'Meus serviços'!A22)</f>
        <v/>
      </c>
      <c r="C23" s="61" t="str">
        <f aca="false">IF('Meus serviços'!B22="","",IF('Meus serviços'!D22&gt;='Meus serviços'!E22,'Meus serviços'!D22,'Meus serviços'!E22))</f>
        <v/>
      </c>
      <c r="D23" s="6"/>
    </row>
    <row r="24" customFormat="false" ht="24" hidden="false" customHeight="true" outlineLevel="0" collapsed="false">
      <c r="A24" s="6"/>
      <c r="B24" s="60" t="str">
        <f aca="false">IF('Meus serviços'!B23="","",'Meus serviços'!A23)</f>
        <v/>
      </c>
      <c r="C24" s="61" t="str">
        <f aca="false">IF('Meus serviços'!B23="","",IF('Meus serviços'!D23&gt;='Meus serviços'!E23,'Meus serviços'!D23,'Meus serviços'!E23))</f>
        <v/>
      </c>
      <c r="D24" s="6"/>
    </row>
    <row r="25" customFormat="false" ht="24" hidden="false" customHeight="true" outlineLevel="0" collapsed="false">
      <c r="A25" s="6"/>
      <c r="B25" s="60" t="str">
        <f aca="false">IF('Meus serviços'!B24="","",'Meus serviços'!A24)</f>
        <v/>
      </c>
      <c r="C25" s="61" t="str">
        <f aca="false">IF('Meus serviços'!B24="","",IF('Meus serviços'!D24&gt;='Meus serviços'!E24,'Meus serviços'!D24,'Meus serviços'!E24))</f>
        <v/>
      </c>
      <c r="D25" s="6"/>
    </row>
    <row r="26" customFormat="false" ht="24" hidden="false" customHeight="true" outlineLevel="0" collapsed="false">
      <c r="A26" s="6"/>
      <c r="B26" s="60" t="str">
        <f aca="false">IF('Meus serviços'!B25="","",'Meus serviços'!A25)</f>
        <v/>
      </c>
      <c r="C26" s="61" t="str">
        <f aca="false">IF('Meus serviços'!B25="","",IF('Meus serviços'!D25&gt;='Meus serviços'!E25,'Meus serviços'!D25,'Meus serviços'!E25))</f>
        <v/>
      </c>
      <c r="D26" s="6"/>
    </row>
    <row r="27" customFormat="false" ht="24" hidden="false" customHeight="true" outlineLevel="0" collapsed="false">
      <c r="A27" s="6"/>
      <c r="B27" s="60" t="str">
        <f aca="false">IF('Meus serviços'!B26="","",'Meus serviços'!A26)</f>
        <v/>
      </c>
      <c r="C27" s="61" t="str">
        <f aca="false">IF('Meus serviços'!B26="","",IF('Meus serviços'!D26&gt;='Meus serviços'!E26,'Meus serviços'!D26,'Meus serviços'!E26))</f>
        <v/>
      </c>
      <c r="D27" s="6"/>
    </row>
    <row r="28" customFormat="false" ht="24" hidden="false" customHeight="true" outlineLevel="0" collapsed="false">
      <c r="A28" s="6"/>
      <c r="B28" s="60" t="str">
        <f aca="false">IF('Meus serviços'!B27="","",'Meus serviços'!A27)</f>
        <v/>
      </c>
      <c r="C28" s="61" t="str">
        <f aca="false">IF('Meus serviços'!B27="","",IF('Meus serviços'!D27&gt;='Meus serviços'!E27,'Meus serviços'!D27,'Meus serviços'!E27))</f>
        <v/>
      </c>
      <c r="D28" s="6"/>
    </row>
    <row r="29" customFormat="false" ht="24" hidden="false" customHeight="true" outlineLevel="0" collapsed="false">
      <c r="A29" s="6"/>
      <c r="B29" s="60" t="str">
        <f aca="false">IF('Meus serviços'!B28="","",'Meus serviços'!A28)</f>
        <v/>
      </c>
      <c r="C29" s="61" t="str">
        <f aca="false">IF('Meus serviços'!B28="","",IF('Meus serviços'!D28&gt;='Meus serviços'!E28,'Meus serviços'!D28,'Meus serviços'!E28))</f>
        <v/>
      </c>
      <c r="D29" s="6"/>
    </row>
    <row r="30" customFormat="false" ht="24" hidden="false" customHeight="true" outlineLevel="0" collapsed="false">
      <c r="A30" s="6"/>
      <c r="B30" s="60" t="str">
        <f aca="false">IF('Meus serviços'!B29="","",'Meus serviços'!A29)</f>
        <v/>
      </c>
      <c r="C30" s="61" t="str">
        <f aca="false">IF('Meus serviços'!B29="","",IF('Meus serviços'!D29&gt;='Meus serviços'!E29,'Meus serviços'!D29,'Meus serviços'!E29))</f>
        <v/>
      </c>
      <c r="D30" s="6"/>
    </row>
    <row r="31" customFormat="false" ht="15" hidden="false" customHeight="false" outlineLevel="0" collapsed="false">
      <c r="A31" s="6"/>
      <c r="B31" s="6"/>
      <c r="C31" s="6"/>
      <c r="D31" s="6"/>
    </row>
    <row r="32" customFormat="false" ht="15" hidden="false" customHeight="false" outlineLevel="0" collapsed="false">
      <c r="A32" s="6"/>
      <c r="B32" s="18" t="s">
        <v>27</v>
      </c>
      <c r="C32" s="18"/>
      <c r="D32" s="6"/>
    </row>
    <row r="33" customFormat="false" ht="25.5" hidden="false" customHeight="true" outlineLevel="0" collapsed="false">
      <c r="A33" s="6"/>
      <c r="B33" s="62" t="s">
        <v>110</v>
      </c>
      <c r="C33" s="62"/>
      <c r="D33" s="6"/>
    </row>
    <row r="34" customFormat="false" ht="15" hidden="false" customHeight="false" outlineLevel="0" collapsed="false">
      <c r="A34" s="6"/>
      <c r="B34" s="6"/>
      <c r="C34" s="6"/>
      <c r="D34" s="6"/>
    </row>
  </sheetData>
  <mergeCells count="5">
    <mergeCell ref="A1:D1"/>
    <mergeCell ref="A2:D2"/>
    <mergeCell ref="B3:C3"/>
    <mergeCell ref="B32:C32"/>
    <mergeCell ref="B33:C33"/>
  </mergeCells>
  <conditionalFormatting sqref="B6:C30">
    <cfRule type="expression" priority="2" aboveAverage="0" equalAverage="0" bottom="0" percent="0" rank="0" text="" dxfId="3">
      <formula>$B6&lt;&gt;""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2026-10-20T19:55:34Z</dcterms:created>
  <dc:creator>Kit Preço Certo</dc:creator>
  <dc:description/>
  <dc:language>en-US</dc:language>
  <cp:lastModifiedBy/>
  <dcterms:modified xsi:type="dcterms:W3CDTF">2026-10-20T16:55:37Z</dcterms:modified>
  <cp:revision>1</cp:revision>
  <dc:subject/>
  <dc:title>Calculadora de Preço para Serviços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